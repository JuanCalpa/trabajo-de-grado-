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ris\Documents\GitHub\trabajo-de-grado-\Entrega final\"/>
    </mc:Choice>
  </mc:AlternateContent>
  <xr:revisionPtr revIDLastSave="0" documentId="13_ncr:1_{9DAE4D2C-A46E-4F29-8733-C87B48639AF2}" xr6:coauthVersionLast="47" xr6:coauthVersionMax="47" xr10:uidLastSave="{00000000-0000-0000-0000-000000000000}"/>
  <bookViews>
    <workbookView xWindow="-120" yWindow="-120" windowWidth="29040" windowHeight="15990" activeTab="11" xr2:uid="{00000000-000D-0000-FFFF-FFFF00000000}"/>
  </bookViews>
  <sheets>
    <sheet name="Respuestas" sheetId="1" r:id="rId1"/>
    <sheet name="1" sheetId="2"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Edad" sheetId="13" r:id="rId12"/>
    <sheet name="Nivel educativo" sheetId="14" r:id="rId13"/>
    <sheet name="Genero"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5" l="1"/>
  <c r="C3" i="15"/>
  <c r="C2" i="15"/>
  <c r="B4" i="15"/>
  <c r="B3" i="15"/>
  <c r="B2" i="15"/>
  <c r="C6" i="14"/>
  <c r="C3" i="14"/>
  <c r="C4" i="14"/>
  <c r="C5" i="14"/>
  <c r="C2" i="14"/>
  <c r="B6" i="14"/>
  <c r="B3" i="14"/>
  <c r="B4" i="14"/>
  <c r="B5" i="14"/>
  <c r="B2" i="14"/>
  <c r="B3" i="13"/>
  <c r="B4" i="13"/>
  <c r="B5" i="13"/>
  <c r="B6" i="13"/>
  <c r="B7" i="13"/>
  <c r="B8" i="13"/>
  <c r="B9" i="13"/>
  <c r="B10" i="13"/>
  <c r="B11" i="13"/>
  <c r="B12" i="13"/>
  <c r="B13" i="13"/>
  <c r="B14" i="13"/>
  <c r="B15" i="13"/>
  <c r="B16" i="13"/>
  <c r="B17" i="13"/>
  <c r="B18" i="13"/>
  <c r="B2" i="13"/>
  <c r="B3" i="12"/>
  <c r="B4" i="12"/>
  <c r="B5" i="12"/>
  <c r="B6" i="12"/>
  <c r="B2" i="12"/>
  <c r="B3" i="11"/>
  <c r="B4" i="11"/>
  <c r="B5" i="11"/>
  <c r="B6" i="11"/>
  <c r="B2" i="11"/>
  <c r="B3" i="10"/>
  <c r="B4" i="10"/>
  <c r="B5" i="10"/>
  <c r="B6" i="10"/>
  <c r="B2" i="10"/>
  <c r="B3" i="9"/>
  <c r="B4" i="9"/>
  <c r="B5" i="9"/>
  <c r="B6" i="9"/>
  <c r="B2" i="9"/>
  <c r="B3" i="8"/>
  <c r="B4" i="8"/>
  <c r="B5" i="8"/>
  <c r="B6" i="8"/>
  <c r="B2" i="8"/>
  <c r="C2" i="7"/>
  <c r="B3" i="7"/>
  <c r="B4" i="7"/>
  <c r="B5" i="7"/>
  <c r="B6" i="7"/>
  <c r="B2" i="7"/>
  <c r="B3" i="6"/>
  <c r="B4" i="6"/>
  <c r="B5" i="6"/>
  <c r="B6" i="6"/>
  <c r="B2" i="6"/>
  <c r="B3" i="5"/>
  <c r="B4" i="5"/>
  <c r="B5" i="5"/>
  <c r="B6" i="5"/>
  <c r="B2" i="5"/>
  <c r="B3" i="4"/>
  <c r="B4" i="4"/>
  <c r="B5" i="4"/>
  <c r="B6" i="4"/>
  <c r="B2" i="4"/>
  <c r="C14" i="13" l="1"/>
  <c r="C5" i="13"/>
  <c r="C8" i="13"/>
  <c r="C15" i="13"/>
  <c r="C4" i="13"/>
  <c r="C18" i="13"/>
  <c r="C7" i="13"/>
  <c r="C6" i="13"/>
  <c r="C13" i="13"/>
  <c r="C12" i="13"/>
  <c r="C2" i="13"/>
  <c r="C11" i="13"/>
  <c r="C3" i="13"/>
  <c r="B19" i="13"/>
  <c r="C10" i="13" s="1"/>
  <c r="B7" i="12"/>
  <c r="B7" i="11"/>
  <c r="C4" i="11" s="1"/>
  <c r="B7" i="10"/>
  <c r="C3" i="10" s="1"/>
  <c r="B7" i="9"/>
  <c r="B7" i="8"/>
  <c r="C6" i="8" s="1"/>
  <c r="C3" i="12"/>
  <c r="C4" i="12"/>
  <c r="C5" i="12"/>
  <c r="C6" i="12"/>
  <c r="C2" i="12"/>
  <c r="C5" i="10"/>
  <c r="C4" i="10"/>
  <c r="C6" i="10"/>
  <c r="C2" i="10"/>
  <c r="C3" i="8"/>
  <c r="C4" i="8"/>
  <c r="C5" i="8"/>
  <c r="C2" i="8"/>
  <c r="C5" i="11"/>
  <c r="C6" i="11"/>
  <c r="C2" i="11"/>
  <c r="C4" i="9"/>
  <c r="C5" i="9"/>
  <c r="C3" i="9"/>
  <c r="C6" i="9"/>
  <c r="C2" i="9"/>
  <c r="B7" i="7"/>
  <c r="C4" i="7" s="1"/>
  <c r="B7" i="6"/>
  <c r="C3" i="6"/>
  <c r="C4" i="6"/>
  <c r="C5" i="6"/>
  <c r="C6" i="6"/>
  <c r="C2" i="6"/>
  <c r="B7" i="5"/>
  <c r="C5" i="5" s="1"/>
  <c r="C3" i="5"/>
  <c r="C4" i="5"/>
  <c r="C6" i="5"/>
  <c r="C2" i="5"/>
  <c r="B7" i="4"/>
  <c r="C3" i="4" s="1"/>
  <c r="C6" i="4"/>
  <c r="C2" i="4"/>
  <c r="C16" i="13" l="1"/>
  <c r="C9" i="13"/>
  <c r="C19" i="13" s="1"/>
  <c r="C17" i="13"/>
  <c r="C3" i="11"/>
  <c r="C7" i="10"/>
  <c r="C7" i="8"/>
  <c r="C7" i="12"/>
  <c r="C9" i="11"/>
  <c r="C7" i="11"/>
  <c r="C9" i="9"/>
  <c r="C7" i="9"/>
  <c r="C6" i="7"/>
  <c r="C5" i="7"/>
  <c r="C3" i="7"/>
  <c r="C7" i="6"/>
  <c r="C9" i="5"/>
  <c r="C7" i="5"/>
  <c r="C5" i="4"/>
  <c r="C4" i="4"/>
  <c r="C7" i="4" s="1"/>
  <c r="C9" i="2"/>
  <c r="C7" i="2"/>
  <c r="C3" i="2"/>
  <c r="C4" i="2"/>
  <c r="C5" i="2"/>
  <c r="C6" i="2"/>
  <c r="C2" i="2"/>
  <c r="B7" i="2"/>
  <c r="B3" i="2"/>
  <c r="B4" i="2"/>
  <c r="B5" i="2"/>
  <c r="B6" i="2"/>
  <c r="B2" i="2"/>
  <c r="C9" i="7" l="1"/>
  <c r="C7" i="7"/>
</calcChain>
</file>

<file path=xl/sharedStrings.xml><?xml version="1.0" encoding="utf-8"?>
<sst xmlns="http://schemas.openxmlformats.org/spreadsheetml/2006/main" count="819" uniqueCount="199">
  <si>
    <t>Marca temporal</t>
  </si>
  <si>
    <t>Dirección de correo electrónico</t>
  </si>
  <si>
    <t>Edad</t>
  </si>
  <si>
    <t>Género</t>
  </si>
  <si>
    <t>Nivel educativo</t>
  </si>
  <si>
    <t>Ocupación</t>
  </si>
  <si>
    <t>¿Cuáles son los principales aspectos positivos que resalta del producto software?</t>
  </si>
  <si>
    <t>¿Qué aspectos son susceptibles de ser mejorados en el producto software?</t>
  </si>
  <si>
    <t>¿Qué característica(s) sería(n) importante(s) incluir en el producto software para mejorar la facilidad de uso?</t>
  </si>
  <si>
    <t>ppabon@umariana.edu.co</t>
  </si>
  <si>
    <t>Masculino</t>
  </si>
  <si>
    <t>Posgrado</t>
  </si>
  <si>
    <t>Empleado</t>
  </si>
  <si>
    <t>Totalmente de acuerdo</t>
  </si>
  <si>
    <t>Neutro</t>
  </si>
  <si>
    <t>De acuerdo</t>
  </si>
  <si>
    <t>Totalmente en desacuerdo</t>
  </si>
  <si>
    <t xml:space="preserve">el poder visualizar los registros en tiempo real y que estos datos sean tanto numéricos como gráficos; los párrafos de información son precisos y puntuales </t>
  </si>
  <si>
    <t>la pagina de inicio no tiene una bienvenida y de que trata el software, no hay un instructivo para ser manejado de manera independiente.</t>
  </si>
  <si>
    <t>* un icono de aprende a usarlo (con ejemplo puntual de como se usa el software).
* contextualizar los contaminantes - tienen un encabezado de ¿Por qué es importante? pero que es o que tamaño tiene el contaminante no se aprecia en el software.
* en lo posible incluir una representación visual de los diferentes contaminantes y una comparación de tamaño con algo como un cabello humano.
* algún apartado de "acerca de" y de requisitos necesarios.</t>
  </si>
  <si>
    <t>jenjimenezp223@umariana.edu.co</t>
  </si>
  <si>
    <t>Femenino</t>
  </si>
  <si>
    <t>En desacuerdo</t>
  </si>
  <si>
    <t xml:space="preserve">Los gráficos son amigables con el usuario, buenos colores, que permita descargar los datos historias </t>
  </si>
  <si>
    <t xml:space="preserve">Que al iniciar sesión diga explícitamente que se puede iniciar con el correo de umariana.
Especificar que el limite hace referencia al nivel de advertencia, explicar los diferentes niveles que menciona la normativa 
</t>
  </si>
  <si>
    <t>Que se pueda modificar los ejes, hacer zoom o alejar para ver los datos historia directamente en el software sin tener que descargar los datos.</t>
  </si>
  <si>
    <t>rojeda@umariana.edu.co</t>
  </si>
  <si>
    <t>es fácil de usar, la medición en tiempo real</t>
  </si>
  <si>
    <t>en el inicio dice que son 6 colores pero aparecen 4. Mejorar el rango de la presentacion de datos en tiempo real, es decir si vemos pm 2.5, la ghrafica hasta 160 es muy grande y no se puede distinguir el valor de 2.5 graficamente. Sugiero que los textos de la información de la importancia de las mediciones ambientales sean más enfocados en la prevención. poner un tip de la detección de algun parámetro en forma propositiva.</t>
  </si>
  <si>
    <t>hacer la presentacion de datos en tiempo real con graficas mas ajustadas y que se pueda ver mas tiempo</t>
  </si>
  <si>
    <t>fmaffla@yahoo.com.ar</t>
  </si>
  <si>
    <t>el tipo de resultados y su temporalidad</t>
  </si>
  <si>
    <t xml:space="preserve">información acerca de donde se realiza la medición en caso de que sea una estación fija, datos de calibración de sensores para tener certeza de que la información es de buena calidad. </t>
  </si>
  <si>
    <t>mapa de ubicación, en caso de estación fija</t>
  </si>
  <si>
    <t>glucardenas@umariana.edu.co</t>
  </si>
  <si>
    <t>Bonito, amigable, util</t>
  </si>
  <si>
    <t xml:space="preserve">En la pestaña de niveles mensuales sería importante que al hacer un click en el día se dirigiera a la pesataña descatar datos de eat manera es más fácil para el usuario. La pestaña de descargar datos se podría eliminar de la parte superior. En la pestaña de niveles mensuales donde aparecen los meses y días colocar la tabla de que significa este color a un lado para no tener que bajar
Los niveles de tiempo en los niveles mensuales deben ser precisamente la info de el último mes en la visualización no por segundos, no es necesario </t>
  </si>
  <si>
    <t>La pantalla de inicio debe dar una idea de lo que hace el programa. Cuando entre pensé que solo media pm2,5 y monóxido porque es lo que está ahí pero mide muchas más cosas. Por ello siento que no se debería cambiar la información a la explicación de lo que es cada uno de  los parámetros</t>
  </si>
  <si>
    <t>smadronero@umariana.edu.co</t>
  </si>
  <si>
    <t>el sofware es bastante intuitivo y facil de manejar</t>
  </si>
  <si>
    <t>mejoraria algunos aspectos de la presentacion como por ejemplo que la informacion que se mira inicialmente no se presente en segundos sino por horas, podria ser mas facil darle click en la fecha y que me redijira a la descarga especifica de los datos que se obtuvieron en la fecha señalada.</t>
  </si>
  <si>
    <t>Las mencionadas anteriormente.</t>
  </si>
  <si>
    <t>terocanchala123@umariana.edu.co</t>
  </si>
  <si>
    <t>Resalto la visualización de la información tanto gráfica como de visualización de datos disponibles para exportar</t>
  </si>
  <si>
    <t>Que en los gráficos se pueda visualizar el histórico guardado en él con un periodo de tiempo más amplio que el disponible. 
Facilitar la descarga de los gráficos, no solo permitir la descarga de los datos 
En la visualización de los gráficos poder hacer zoom en algunas partes.
Poder establecer el limite máximo permisible por parte del usuario, ya es que esta varia teniendo en cuenta si se requiere realizar un análisis horario, semanal, mensual etc, o si se piensa para otros paises estos limites establecidos por normativa podrían cambiar.</t>
  </si>
  <si>
    <t>Incluir un protocolo tipo video corto al inicio del software, para que el primer encuentro con el software sea más fácil. Aunque se resalta que el software es intuitivo, lo cual hace fácil la navegación.</t>
  </si>
  <si>
    <t>jcnarvaez@umariana.edu.co</t>
  </si>
  <si>
    <t>La apariencia visual de los parámetros</t>
  </si>
  <si>
    <t>La presentación de información meteorológica es muy importante y no únicamente de los datos en series de tiempo. Se deberían extender las series de tiempo a mas de una hora para poder ver los contrastes en un día o en el periodo que uno requiera analizar</t>
  </si>
  <si>
    <t>Un bot que permita reconocer cada componente de la visualización, su funcionamiento y cual es el alcance de la información suministrada de a cuerdo a cada parámetro o a un conjunto de ellos.</t>
  </si>
  <si>
    <t>dgguerrero@umariana.edu.co</t>
  </si>
  <si>
    <t xml:space="preserve">Que es amigable y fácil de entender </t>
  </si>
  <si>
    <t xml:space="preserve">La descarga de datos diarios </t>
  </si>
  <si>
    <t xml:space="preserve">Talvez explicar un poco mas las variables que mide la estación </t>
  </si>
  <si>
    <t>anmacadena223@umariana.edu.co</t>
  </si>
  <si>
    <t>Universidad (pregrado)</t>
  </si>
  <si>
    <t>Estudiante</t>
  </si>
  <si>
    <t xml:space="preserve">Es muy intuitivo y fácil de manejar </t>
  </si>
  <si>
    <t xml:space="preserve">A mi percepción ninguno </t>
  </si>
  <si>
    <t xml:space="preserve">A mi parecer ninguna </t>
  </si>
  <si>
    <t>kajupaz223@umariana.edu.co</t>
  </si>
  <si>
    <t xml:space="preserve">Practico </t>
  </si>
  <si>
    <t>Ninguna</t>
  </si>
  <si>
    <t xml:space="preserve">Ninguna </t>
  </si>
  <si>
    <t>karpedroza225@umariana.edu.co</t>
  </si>
  <si>
    <t xml:space="preserve">Qué es muy difícil de utilizar </t>
  </si>
  <si>
    <t xml:space="preserve">Puede ser la presentación el aparato </t>
  </si>
  <si>
    <t xml:space="preserve">Pues para mí está muy sencillo de utilizar </t>
  </si>
  <si>
    <t>wilportilla225@umariana.edu.co</t>
  </si>
  <si>
    <t>dansapuyes225@umariana.edu.co</t>
  </si>
  <si>
    <t>sheguzman225@umariana.edu.co</t>
  </si>
  <si>
    <t>Nos ayudaría a tener más claro los niveles de contaminantes</t>
  </si>
  <si>
    <t xml:space="preserve">Al momento de descargar los niveles mensuales y abrir el documento, debería estar ya organizado en tabla para no perder tiempo </t>
  </si>
  <si>
    <t>brypastas225@umariana.edu.co</t>
  </si>
  <si>
    <t xml:space="preserve">Es muy fácil de usar y comprender </t>
  </si>
  <si>
    <t xml:space="preserve">Ninguno </t>
  </si>
  <si>
    <t>darosero225@umariana.edu.co</t>
  </si>
  <si>
    <t xml:space="preserve">La interfaz, pues que es muy fácil de manejar </t>
  </si>
  <si>
    <t xml:space="preserve">Corrección de errores o fallos </t>
  </si>
  <si>
    <t xml:space="preserve">Tutoriales o guias dentro de la aplicación </t>
  </si>
  <si>
    <t>panirosero223@umariana.edu.co</t>
  </si>
  <si>
    <t xml:space="preserve">muy organizado, la información se muestra clara, se puede descargar datos con facilidad y muy claros. </t>
  </si>
  <si>
    <t xml:space="preserve">En mi opinión, siento que el software está muy completo y listo para aplicarse </t>
  </si>
  <si>
    <t xml:space="preserve">Ningunas, el uso de software es muy facil para manejar </t>
  </si>
  <si>
    <t>latapatino223@umariana.edu.co</t>
  </si>
  <si>
    <t>Secundaria</t>
  </si>
  <si>
    <t>La organización del programa y su función dónde se ve claramente los estudios que refleja el arduino</t>
  </si>
  <si>
    <t xml:space="preserve">Que al inicio se muestre también la tabla de resultados </t>
  </si>
  <si>
    <t xml:space="preserve">Ya que se den más prácticas del mismo en el salón de clases para que se dé a conocer </t>
  </si>
  <si>
    <t>nirubio@umariana.edu.co</t>
  </si>
  <si>
    <t>Es un software fácil de entender, muy gráfico y presenta los datos en tiempo real y de manera organizada.</t>
  </si>
  <si>
    <t>jimjbasantet124@umariana.edu.co</t>
  </si>
  <si>
    <t xml:space="preserve">Facil manejo de la plataforma, datos actualizados y visibilidad de los datos </t>
  </si>
  <si>
    <t xml:space="preserve">Mejor la decarga y visualizacion de los datos en excel, ajustar mejor el modelo para tener una menor desviacion entre los datos </t>
  </si>
  <si>
    <t>Video tutorial.</t>
  </si>
  <si>
    <t>cridcastellanoc124@umariana.edu.co</t>
  </si>
  <si>
    <t>Educación técnica o tecnológica</t>
  </si>
  <si>
    <t xml:space="preserve">Fácil anejo de la plataforma , datos actualizados y visibilidad de lo datos </t>
  </si>
  <si>
    <t>La visualización y descarga en Excel ajustar el modelo de datos</t>
  </si>
  <si>
    <t xml:space="preserve">Video tutorial en que expliques cómo se el software </t>
  </si>
  <si>
    <t>laenriquez222@umariana.edu.co</t>
  </si>
  <si>
    <t xml:space="preserve">La facilidad con que se pueden medir variables y la descarga de datos </t>
  </si>
  <si>
    <t xml:space="preserve">Una imagen más gráfica de los datos </t>
  </si>
  <si>
    <t xml:space="preserve">Imágenes que permitan entender mejor los datos. </t>
  </si>
  <si>
    <t>apdurango222@umariana.edu.co</t>
  </si>
  <si>
    <t xml:space="preserve">La facilidad con la que se puede descargar la información </t>
  </si>
  <si>
    <t xml:space="preserve">Una imagen más gráfica de los datos obtenidos </t>
  </si>
  <si>
    <t>Imágenes que permitan entender mejor los valores obtenidos en cada variable.</t>
  </si>
  <si>
    <t>maiscabrera123@umariana.edu.co</t>
  </si>
  <si>
    <t xml:space="preserve">Tiene bastantes funcionalidades que sirven </t>
  </si>
  <si>
    <t xml:space="preserve">Considero que está bien pero hay muchas ventanas, necesitaría una explicación más detallada de cómo se usa y adquiere los datos,  incluso de cómo los puedo generar. quizás sería bueno que haya una parte donde sea un tipo de manual donde se explique </t>
  </si>
  <si>
    <t>mariacvega123@umariana.edu.co</t>
  </si>
  <si>
    <t xml:space="preserve">Qué es fácil de manejar, y da las variables que se necesita </t>
  </si>
  <si>
    <t xml:space="preserve">Una guía de manejo para las personas que son nuevas en el tema </t>
  </si>
  <si>
    <t xml:space="preserve">Todo está bien, no se debe incluir nada </t>
  </si>
  <si>
    <t>juliaiinac.inca221@umariana.edu.co</t>
  </si>
  <si>
    <t xml:space="preserve">Es muy complementario para la toma de decisiones con respecto a la contaminación del aire </t>
  </si>
  <si>
    <t xml:space="preserve">Que cada persona pueda tomar los datos directamente en un punto especifico y que que se pueda monitorear el micro controlador  </t>
  </si>
  <si>
    <t>camamantilla123@umariana.edu.co</t>
  </si>
  <si>
    <t xml:space="preserve">El apoyo al aire </t>
  </si>
  <si>
    <t xml:space="preserve">La alimentacion del arduino y q no tenga q estar usandose con datos </t>
  </si>
  <si>
    <t xml:space="preserve">Una caja o algo para proteger al arduino por q así puede ser muy sensible a golpes </t>
  </si>
  <si>
    <t>ansovargas123@umariana.edu.co</t>
  </si>
  <si>
    <t xml:space="preserve">Es fácil de entender y amable con el usuario </t>
  </si>
  <si>
    <t xml:space="preserve">Se necesitarían más datos de diferentes estaciones para que los datos sean más confiables a una escala un poco mayor, pero si se quiere medir datos en un espacio más reducido está bastante bien </t>
  </si>
  <si>
    <t xml:space="preserve">La ubicación de donde se toman los datos </t>
  </si>
  <si>
    <t>Kalisierra123@umariana.edu.co</t>
  </si>
  <si>
    <t xml:space="preserve">Algo bueno, innovador para la universidad Mariana </t>
  </si>
  <si>
    <t>Esta super bien</t>
  </si>
  <si>
    <t>Sería que al momento de descargar los pdf que genera aparezca gráficas para tener una visualización mas clara</t>
  </si>
  <si>
    <t>katherinch.jaramillo@umariana.edu.co</t>
  </si>
  <si>
    <t xml:space="preserve">Poder obtener datos reales </t>
  </si>
  <si>
    <t xml:space="preserve">Un poco más específico en las gráficas y facilidad de uso </t>
  </si>
  <si>
    <t>Interfaz simple, navegación clara, información resumida, carga rápida y opciones de personalización para el usuario.</t>
  </si>
  <si>
    <t>ivmaperenguez123@umariana.edu.co</t>
  </si>
  <si>
    <t xml:space="preserve">Los datos son claros, al momento de visualizarlos se puede identificarlos de manera adecuada y ordenada, además su sistema operativo en muy entendible </t>
  </si>
  <si>
    <t xml:space="preserve">Está bien estructurado </t>
  </si>
  <si>
    <t xml:space="preserve">Un lenguaje hablado, como estilo servidor de siri, esto sería muy interesante </t>
  </si>
  <si>
    <t>maparosales123@umariana.edu.co</t>
  </si>
  <si>
    <t xml:space="preserve">Me gusta la facilidad de interacción en la plataforma, se ajusta a las necesidades del análisis de datos en estudios </t>
  </si>
  <si>
    <t xml:space="preserve">Que sea accesible para más personas </t>
  </si>
  <si>
    <t xml:space="preserve">Que se tenga en cuenta un posible prototipo el cual se coloque en mercado y ayude a otros lugares a conocer acerca de la calidad de aire y  generar datos </t>
  </si>
  <si>
    <t>alexandra.piaguajeor212@umariana.edu.co</t>
  </si>
  <si>
    <t>la facilidad de uso. Un buen software entenderlo y manejarlo sin necesidad de mucha explicación o capacitación.</t>
  </si>
  <si>
    <t>rendimiento, logrando que el software sea más rápido, consuma menos recursos y no se bloquee o se vuelva lento.</t>
  </si>
  <si>
    <t>También es clave incluir guías o tutoriales dentro del sistema, como instrucciones paso a paso, ayudas emergentes o asistentes que orienten al usuario al inicio.</t>
  </si>
  <si>
    <t>brdagarcia123@umariana.edu.co</t>
  </si>
  <si>
    <t>El software es muy práctico y da variables muy interesantes para medir con respecto abla calidad del aire</t>
  </si>
  <si>
    <t>Que presente más variables  como SO2, NOx y O3</t>
  </si>
  <si>
    <t>Ninguno es práctico y entendible</t>
  </si>
  <si>
    <t>judichachinoy123@umariana.edu.co</t>
  </si>
  <si>
    <t xml:space="preserve">Es una sistema pequeño, portátil y gráficamente muy fácil de entender todas las variables </t>
  </si>
  <si>
    <t>Siento que la norma es importante manejarla pero hay algo que no se tiene en cuenta y realmente no se tiene en cuenta a los verdaderos contaminantes peligrosos que existen y repercuten en la calidad del aire. Sería muy importante para la salud por que en la norma Colombiana se estabaoece unos contaminantes pero no se sabe qué tipos de contaminantes volátiles que no están en la norma que pueden estar afrentando la salud en las personas, animales</t>
  </si>
  <si>
    <t xml:space="preserve">La batería también debería ser portátil que funcione en cualquier lugar donde se ubique </t>
  </si>
  <si>
    <t>Jfaortega123@umariana.edu.co</t>
  </si>
  <si>
    <t xml:space="preserve"> Tiene mucha innovación </t>
  </si>
  <si>
    <t xml:space="preserve"> Hacerlo más portátil y que sea </t>
  </si>
  <si>
    <t xml:space="preserve">  Que   puedan acceder sin ser estudiante  de la mariana </t>
  </si>
  <si>
    <t>mayeortega123@umariana.edu.co</t>
  </si>
  <si>
    <t xml:space="preserve">Es un producto muy bueno, innovador para estudiantes e investigadores, muy fácil de usar y que nos muestras gráficas fáciles de entender y también es muy importante que se puede descargar los reportes o datos de las fechas que se deseen. </t>
  </si>
  <si>
    <t>Me parece que sería importante que registre la ubicación y que en los reportes que se descargue también se puede indicar las gráficas.</t>
  </si>
  <si>
    <t>Me parece que esta muy fácil para acceder y usar, no tengo recomendaciones.</t>
  </si>
  <si>
    <t>emsagarreta123@umariana.edu.co</t>
  </si>
  <si>
    <t xml:space="preserve">Es fácil de entender y fácil de manejar </t>
  </si>
  <si>
    <t xml:space="preserve">No se tiene en cuenta otros contaminantes más peligrosos y también de acuerdo a la concentración de estos, se debería dar una recomendación por ejemplo si está muy alto una recomendación como más ventilación o algo parecido </t>
  </si>
  <si>
    <t xml:space="preserve">Siento que es muy fácil de usar </t>
  </si>
  <si>
    <t>jcrodriguez222@umariana.edu.co</t>
  </si>
  <si>
    <t xml:space="preserve">Que se puede medir los parámetros que nos enseñanza en emisiones </t>
  </si>
  <si>
    <t xml:space="preserve">Que sea un poquito más entendible ya que no fue muy bien expresado </t>
  </si>
  <si>
    <t xml:space="preserve">Explicar un poco más  como se toma los datos ya que no se sabe muy bien que  aplicaciones están utilizando para ello </t>
  </si>
  <si>
    <t>dasamunoz123@umariana.edu.co</t>
  </si>
  <si>
    <t xml:space="preserve">La ayuda para con nosotros y es una herramienta muy buena </t>
  </si>
  <si>
    <t>Algunos detalles menores</t>
  </si>
  <si>
    <t xml:space="preserve">Tratar de que no se caiga mucho la página </t>
  </si>
  <si>
    <t>1</t>
  </si>
  <si>
    <t>2</t>
  </si>
  <si>
    <t>3</t>
  </si>
  <si>
    <t>4</t>
  </si>
  <si>
    <t>5</t>
  </si>
  <si>
    <t>6</t>
  </si>
  <si>
    <t>7</t>
  </si>
  <si>
    <t>8</t>
  </si>
  <si>
    <t>9</t>
  </si>
  <si>
    <t>10</t>
  </si>
  <si>
    <t>Frecuencia observada</t>
  </si>
  <si>
    <t>Porcentaje de la frecuencia observada</t>
  </si>
  <si>
    <t>Creo que me gustaría usar este sistema con frecuencia</t>
  </si>
  <si>
    <t>de acuerdo</t>
  </si>
  <si>
    <t>Total</t>
  </si>
  <si>
    <t xml:space="preserve"> [Encontré el sistema innecesariamente complejo]</t>
  </si>
  <si>
    <t>Pensé que el sistema era fácil de usar</t>
  </si>
  <si>
    <t xml:space="preserve"> Pensé que el sistema era fácil de usar</t>
  </si>
  <si>
    <t>Encontré que las diversas funciones del sistema estaban bien integradas</t>
  </si>
  <si>
    <t>Pensé que había demasiada inconsistencia en este sistema</t>
  </si>
  <si>
    <t>Considero que la mayoría de las personas aprenderían a usar este sistema muy rápidamente</t>
  </si>
  <si>
    <t>Encontré el sistema muy complicado de usar</t>
  </si>
  <si>
    <t>Me sentí muy seguro(a) usando el sistema</t>
  </si>
  <si>
    <t>Necesité aprender muchas cosas antes de poder empezar a usar este sistema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</si>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</sst>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0%"/>
  </numFmts>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7"/>
        <bgColor indexed="64"/>
      </patternFill>
    </fill>
    <fill>
      <patternFill patternType="solid">
        <fgColor theme="5" tint="-0.249977111117893"/>
        <bgColor indexed="64"/>
      </patternFill>
    </fill>
  </fills>
  <borders count="3">
    <border>
      <left/>
      <right/>
      <top/>
      <bottom/>
      <diagonal/>
    </border>
    <border>
      <left/>
      <right/>
      <top style="thin">
        <color rgb="FF5B3F86"/>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4" borderId="0" xfId="0" applyFont="1" applyFill="1" applyAlignment="1">
      <alignment horizontal="left" vertical="center"/>
    </xf>
    <xf numFmtId="0" fontId="1" fillId="5" borderId="0" xfId="0" applyFont="1" applyFill="1" applyAlignment="1">
      <alignment horizontal="left" vertical="center"/>
    </xf>
    <xf numFmtId="0" fontId="3" fillId="0" borderId="0" xfId="0" applyFont="1"/>
    <xf numFmtId="165" fontId="3" fillId="0" borderId="0" xfId="0" applyNumberFormat="1" applyFont="1" applyAlignment="1">
      <alignment wrapText="1"/>
    </xf>
    <xf numFmtId="165" fontId="0" fillId="0" borderId="0" xfId="0" applyNumberFormat="1" applyAlignment="1">
      <alignment wrapText="1"/>
    </xf>
    <xf numFmtId="0" fontId="2" fillId="4" borderId="1" xfId="0" applyFont="1" applyFill="1" applyBorder="1" applyAlignment="1">
      <alignment horizontal="left" vertical="center" wrapText="1"/>
    </xf>
    <xf numFmtId="0" fontId="2" fillId="2" borderId="0" xfId="0" applyFont="1" applyFill="1" applyAlignment="1">
      <alignment vertical="center" wrapText="1"/>
    </xf>
    <xf numFmtId="0" fontId="2" fillId="3" borderId="0" xfId="0" applyFont="1" applyFill="1" applyAlignment="1">
      <alignment vertical="center" wrapText="1"/>
    </xf>
    <xf numFmtId="0" fontId="0" fillId="0" borderId="0" xfId="0" applyAlignment="1">
      <alignment wrapText="1"/>
    </xf>
    <xf numFmtId="0" fontId="2" fillId="5" borderId="1" xfId="0" applyFont="1" applyFill="1" applyBorder="1" applyAlignment="1">
      <alignment horizontal="left" vertical="center" wrapText="1"/>
    </xf>
    <xf numFmtId="0" fontId="1" fillId="0" borderId="2" xfId="0" applyFont="1" applyBorder="1" applyAlignment="1">
      <alignment horizontal="left" vertical="center"/>
    </xf>
    <xf numFmtId="0" fontId="3" fillId="0" borderId="2" xfId="0" applyFont="1" applyBorder="1"/>
    <xf numFmtId="165" fontId="3" fillId="0" borderId="2" xfId="0" applyNumberFormat="1" applyFont="1" applyBorder="1" applyAlignment="1">
      <alignment wrapText="1"/>
    </xf>
    <xf numFmtId="0" fontId="1" fillId="0" borderId="2" xfId="0" applyFont="1" applyBorder="1" applyAlignment="1">
      <alignment vertical="center"/>
    </xf>
    <xf numFmtId="0" fontId="0" fillId="0" borderId="2" xfId="0" applyBorder="1"/>
    <xf numFmtId="165" fontId="0" fillId="0" borderId="2" xfId="0" applyNumberFormat="1" applyBorder="1" applyAlignment="1">
      <alignment wrapText="1"/>
    </xf>
    <xf numFmtId="165" fontId="0" fillId="0" borderId="0" xfId="0" applyNumberFormat="1"/>
    <xf numFmtId="10" fontId="3" fillId="0" borderId="2" xfId="0" applyNumberFormat="1" applyFont="1" applyBorder="1" applyAlignment="1">
      <alignment wrapText="1"/>
    </xf>
    <xf numFmtId="10" fontId="0" fillId="0" borderId="0" xfId="0" applyNumberFormat="1"/>
    <xf numFmtId="10" fontId="0" fillId="0" borderId="2" xfId="0" applyNumberFormat="1" applyBorder="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'1'!$A$2:$A$6</c:f>
              <c:strCache>
                <c:ptCount val="5"/>
                <c:pt idx="0">
                  <c:v>Totalmente de acuerdo</c:v>
                </c:pt>
                <c:pt idx="1">
                  <c:v>De acuerdo</c:v>
                </c:pt>
                <c:pt idx="2">
                  <c:v>Neutro</c:v>
                </c:pt>
                <c:pt idx="3">
                  <c:v>Totalmente en desacuerdo</c:v>
                </c:pt>
                <c:pt idx="4">
                  <c:v>En desacuerdo</c:v>
                </c:pt>
              </c:strCache>
            </c:strRef>
          </c:cat>
          <c:val>
            <c:numRef>
              <c:f>'1'!$C$2:$C$6</c:f>
              <c:numCache>
                <c:formatCode>0.0%</c:formatCode>
                <c:ptCount val="5"/>
                <c:pt idx="0">
                  <c:v>0.41463414634146339</c:v>
                </c:pt>
                <c:pt idx="1">
                  <c:v>0.29268292682926828</c:v>
                </c:pt>
                <c:pt idx="2">
                  <c:v>7.3170731707317069E-2</c:v>
                </c:pt>
                <c:pt idx="3">
                  <c:v>0.1951219512195122</c:v>
                </c:pt>
                <c:pt idx="4">
                  <c:v>2.4390243902439025E-2</c:v>
                </c:pt>
              </c:numCache>
            </c:numRef>
          </c:val>
          <c:extLst>
            <c:ext xmlns:c16="http://schemas.microsoft.com/office/drawing/2014/chart" uri="{C3380CC4-5D6E-409C-BE32-E72D297353CC}">
              <c16:uniqueId val="{00000000-A7AD-4BDD-BDBD-8B34121A6EA9}"/>
            </c:ext>
          </c:extLst>
        </c:ser>
        <c:dLbls>
          <c:showLegendKey val="0"/>
          <c:showVal val="0"/>
          <c:showCatName val="0"/>
          <c:showSerName val="0"/>
          <c:showPercent val="0"/>
          <c:showBubbleSize val="0"/>
        </c:dLbls>
        <c:gapWidth val="219"/>
        <c:overlap val="-27"/>
        <c:axId val="886938848"/>
        <c:axId val="886939808"/>
      </c:barChart>
      <c:catAx>
        <c:axId val="88693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939808"/>
        <c:crosses val="autoZero"/>
        <c:auto val="1"/>
        <c:lblAlgn val="ctr"/>
        <c:lblOffset val="100"/>
        <c:noMultiLvlLbl val="0"/>
      </c:catAx>
      <c:valAx>
        <c:axId val="886939808"/>
        <c:scaling>
          <c:orientation val="minMax"/>
        </c:scaling>
        <c:delete val="1"/>
        <c:axPos val="l"/>
        <c:numFmt formatCode="0.0%" sourceLinked="1"/>
        <c:majorTickMark val="none"/>
        <c:minorTickMark val="none"/>
        <c:tickLblPos val="nextTo"/>
        <c:crossAx val="88693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'2'!$A$2:$A$6</c:f>
              <c:strCache>
                <c:ptCount val="5"/>
                <c:pt idx="0">
                  <c:v>Totalmente de acuerdo</c:v>
                </c:pt>
                <c:pt idx="1">
                  <c:v>De acuerdo</c:v>
                </c:pt>
                <c:pt idx="2">
                  <c:v>Neutro</c:v>
                </c:pt>
                <c:pt idx="3">
                  <c:v>Totalmente en desacuerdo</c:v>
                </c:pt>
                <c:pt idx="4">
                  <c:v>En desacuerdo</c:v>
                </c:pt>
              </c:strCache>
            </c:strRef>
          </c:cat>
          <c:val>
            <c:numRef>
              <c:f>'2'!$C$2:$C$6</c:f>
              <c:numCache>
                <c:formatCode>0.0%</c:formatCode>
                <c:ptCount val="5"/>
                <c:pt idx="0">
                  <c:v>2.4390243902439025E-2</c:v>
                </c:pt>
                <c:pt idx="1">
                  <c:v>2.4390243902439025E-2</c:v>
                </c:pt>
                <c:pt idx="2">
                  <c:v>0.1951219512195122</c:v>
                </c:pt>
                <c:pt idx="3">
                  <c:v>0.31707317073170732</c:v>
                </c:pt>
                <c:pt idx="4">
                  <c:v>0.43902439024390244</c:v>
                </c:pt>
              </c:numCache>
            </c:numRef>
          </c:val>
          <c:extLst>
            <c:ext xmlns:c16="http://schemas.microsoft.com/office/drawing/2014/chart" uri="{C3380CC4-5D6E-409C-BE32-E72D297353CC}">
              <c16:uniqueId val="{00000000-8CB6-4046-9455-725D4476A605}"/>
            </c:ext>
          </c:extLst>
        </c:ser>
        <c:dLbls>
          <c:showLegendKey val="0"/>
          <c:showVal val="0"/>
          <c:showCatName val="0"/>
          <c:showSerName val="0"/>
          <c:showPercent val="0"/>
          <c:showBubbleSize val="0"/>
        </c:dLbls>
        <c:gapWidth val="219"/>
        <c:overlap val="-27"/>
        <c:axId val="494751439"/>
        <c:axId val="494742319"/>
      </c:barChart>
      <c:catAx>
        <c:axId val="49475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4742319"/>
        <c:crosses val="autoZero"/>
        <c:auto val="1"/>
        <c:lblAlgn val="ctr"/>
        <c:lblOffset val="100"/>
        <c:noMultiLvlLbl val="0"/>
      </c:catAx>
      <c:valAx>
        <c:axId val="494742319"/>
        <c:scaling>
          <c:orientation val="minMax"/>
        </c:scaling>
        <c:delete val="1"/>
        <c:axPos val="l"/>
        <c:numFmt formatCode="0.0%" sourceLinked="1"/>
        <c:majorTickMark val="none"/>
        <c:minorTickMark val="none"/>
        <c:tickLblPos val="nextTo"/>
        <c:crossAx val="494751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'3'!$A$2:$A$6</c:f>
              <c:strCache>
                <c:ptCount val="5"/>
                <c:pt idx="0">
                  <c:v>Totalmente de acuerdo</c:v>
                </c:pt>
                <c:pt idx="1">
                  <c:v>De acuerdo</c:v>
                </c:pt>
                <c:pt idx="2">
                  <c:v>Neutro</c:v>
                </c:pt>
                <c:pt idx="3">
                  <c:v>Totalmente en desacuerdo</c:v>
                </c:pt>
                <c:pt idx="4">
                  <c:v>En desacuerdo</c:v>
                </c:pt>
              </c:strCache>
            </c:strRef>
          </c:cat>
          <c:val>
            <c:numRef>
              <c:f>'3'!$C$2:$C$6</c:f>
              <c:numCache>
                <c:formatCode>0.0%</c:formatCode>
                <c:ptCount val="5"/>
                <c:pt idx="0">
                  <c:v>0.21951219512195122</c:v>
                </c:pt>
                <c:pt idx="1">
                  <c:v>0.14634146341463414</c:v>
                </c:pt>
                <c:pt idx="2">
                  <c:v>0.24390243902439024</c:v>
                </c:pt>
                <c:pt idx="3">
                  <c:v>0.21951219512195122</c:v>
                </c:pt>
                <c:pt idx="4">
                  <c:v>0.17073170731707318</c:v>
                </c:pt>
              </c:numCache>
            </c:numRef>
          </c:val>
          <c:extLst>
            <c:ext xmlns:c16="http://schemas.microsoft.com/office/drawing/2014/chart" uri="{C3380CC4-5D6E-409C-BE32-E72D297353CC}">
              <c16:uniqueId val="{00000000-10EE-4681-B76E-7D144AB3AEFC}"/>
            </c:ext>
          </c:extLst>
        </c:ser>
        <c:dLbls>
          <c:showLegendKey val="0"/>
          <c:showVal val="0"/>
          <c:showCatName val="0"/>
          <c:showSerName val="0"/>
          <c:showPercent val="0"/>
          <c:showBubbleSize val="0"/>
        </c:dLbls>
        <c:gapWidth val="219"/>
        <c:overlap val="-27"/>
        <c:axId val="486937263"/>
        <c:axId val="486960303"/>
      </c:barChart>
      <c:catAx>
        <c:axId val="4869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60303"/>
        <c:crosses val="autoZero"/>
        <c:auto val="1"/>
        <c:lblAlgn val="ctr"/>
        <c:lblOffset val="100"/>
        <c:noMultiLvlLbl val="0"/>
      </c:catAx>
      <c:valAx>
        <c:axId val="486960303"/>
        <c:scaling>
          <c:orientation val="minMax"/>
        </c:scaling>
        <c:delete val="1"/>
        <c:axPos val="l"/>
        <c:numFmt formatCode="0.0%" sourceLinked="1"/>
        <c:majorTickMark val="none"/>
        <c:minorTickMark val="none"/>
        <c:tickLblPos val="nextTo"/>
        <c:crossAx val="486937263"/>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'4'!$A$2:$A$6</c:f>
              <c:strCache>
                <c:ptCount val="5"/>
                <c:pt idx="0">
                  <c:v>Totalmente de acuerdo</c:v>
                </c:pt>
                <c:pt idx="1">
                  <c:v>De acuerdo</c:v>
                </c:pt>
                <c:pt idx="2">
                  <c:v>Neutro</c:v>
                </c:pt>
                <c:pt idx="3">
                  <c:v>Totalmente en desacuerdo</c:v>
                </c:pt>
                <c:pt idx="4">
                  <c:v>En desacuerdo</c:v>
                </c:pt>
              </c:strCache>
            </c:strRef>
          </c:cat>
          <c:val>
            <c:numRef>
              <c:f>'4'!$C$2:$C$6</c:f>
              <c:numCache>
                <c:formatCode>0.0%</c:formatCode>
                <c:ptCount val="5"/>
                <c:pt idx="0">
                  <c:v>4.878048780487805E-2</c:v>
                </c:pt>
                <c:pt idx="1">
                  <c:v>0.17073170731707318</c:v>
                </c:pt>
                <c:pt idx="2">
                  <c:v>7.3170731707317069E-2</c:v>
                </c:pt>
                <c:pt idx="3">
                  <c:v>0.36585365853658536</c:v>
                </c:pt>
                <c:pt idx="4">
                  <c:v>0.34146341463414637</c:v>
                </c:pt>
              </c:numCache>
            </c:numRef>
          </c:val>
          <c:extLst>
            <c:ext xmlns:c16="http://schemas.microsoft.com/office/drawing/2014/chart" uri="{C3380CC4-5D6E-409C-BE32-E72D297353CC}">
              <c16:uniqueId val="{00000000-A3C7-4C07-915B-B3107AAF7AD2}"/>
            </c:ext>
          </c:extLst>
        </c:ser>
        <c:dLbls>
          <c:showLegendKey val="0"/>
          <c:showVal val="0"/>
          <c:showCatName val="0"/>
          <c:showSerName val="0"/>
          <c:showPercent val="0"/>
          <c:showBubbleSize val="0"/>
        </c:dLbls>
        <c:gapWidth val="219"/>
        <c:overlap val="-27"/>
        <c:axId val="494750959"/>
        <c:axId val="494735119"/>
      </c:barChart>
      <c:catAx>
        <c:axId val="4947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4735119"/>
        <c:crosses val="autoZero"/>
        <c:auto val="1"/>
        <c:lblAlgn val="ctr"/>
        <c:lblOffset val="100"/>
        <c:noMultiLvlLbl val="0"/>
      </c:catAx>
      <c:valAx>
        <c:axId val="494735119"/>
        <c:scaling>
          <c:orientation val="minMax"/>
        </c:scaling>
        <c:delete val="1"/>
        <c:axPos val="l"/>
        <c:numFmt formatCode="0.0%" sourceLinked="1"/>
        <c:majorTickMark val="none"/>
        <c:minorTickMark val="none"/>
        <c:tickLblPos val="nextTo"/>
        <c:crossAx val="494750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'5'!$A$2:$A$6</c:f>
              <c:strCache>
                <c:ptCount val="5"/>
                <c:pt idx="0">
                  <c:v>Totalmente de acuerdo</c:v>
                </c:pt>
                <c:pt idx="1">
                  <c:v>De acuerdo</c:v>
                </c:pt>
                <c:pt idx="2">
                  <c:v>Neutro</c:v>
                </c:pt>
                <c:pt idx="3">
                  <c:v>Totalmente en desacuerdo</c:v>
                </c:pt>
                <c:pt idx="4">
                  <c:v>En desacuerdo</c:v>
                </c:pt>
              </c:strCache>
            </c:strRef>
          </c:cat>
          <c:val>
            <c:numRef>
              <c:f>'5'!$C$2:$C$6</c:f>
              <c:numCache>
                <c:formatCode>0.0%</c:formatCode>
                <c:ptCount val="5"/>
                <c:pt idx="0">
                  <c:v>0.48780487804878048</c:v>
                </c:pt>
                <c:pt idx="1">
                  <c:v>0.21951219512195122</c:v>
                </c:pt>
                <c:pt idx="2">
                  <c:v>9.7560975609756101E-2</c:v>
                </c:pt>
                <c:pt idx="3">
                  <c:v>0.17073170731707318</c:v>
                </c:pt>
                <c:pt idx="4">
                  <c:v>2.4390243902439025E-2</c:v>
                </c:pt>
              </c:numCache>
            </c:numRef>
          </c:val>
          <c:extLst>
            <c:ext xmlns:c16="http://schemas.microsoft.com/office/drawing/2014/chart" uri="{C3380CC4-5D6E-409C-BE32-E72D297353CC}">
              <c16:uniqueId val="{00000000-E6CC-4299-BA85-6037665F131C}"/>
            </c:ext>
          </c:extLst>
        </c:ser>
        <c:dLbls>
          <c:showLegendKey val="0"/>
          <c:showVal val="0"/>
          <c:showCatName val="0"/>
          <c:showSerName val="0"/>
          <c:showPercent val="0"/>
          <c:showBubbleSize val="0"/>
        </c:dLbls>
        <c:gapWidth val="219"/>
        <c:overlap val="-27"/>
        <c:axId val="486977583"/>
        <c:axId val="486978543"/>
      </c:barChart>
      <c:catAx>
        <c:axId val="48697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78543"/>
        <c:crosses val="autoZero"/>
        <c:auto val="1"/>
        <c:lblAlgn val="ctr"/>
        <c:lblOffset val="100"/>
        <c:noMultiLvlLbl val="0"/>
      </c:catAx>
      <c:valAx>
        <c:axId val="486978543"/>
        <c:scaling>
          <c:orientation val="minMax"/>
        </c:scaling>
        <c:delete val="1"/>
        <c:axPos val="l"/>
        <c:numFmt formatCode="0.0%" sourceLinked="1"/>
        <c:majorTickMark val="none"/>
        <c:minorTickMark val="none"/>
        <c:tickLblPos val="nextTo"/>
        <c:crossAx val="486977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'6'!$A$2:$A$6</c:f>
              <c:strCache>
                <c:ptCount val="5"/>
                <c:pt idx="0">
                  <c:v>Totalmente de acuerdo</c:v>
                </c:pt>
                <c:pt idx="1">
                  <c:v>De acuerdo</c:v>
                </c:pt>
                <c:pt idx="2">
                  <c:v>Neutro</c:v>
                </c:pt>
                <c:pt idx="3">
                  <c:v>Totalmente en desacuerdo</c:v>
                </c:pt>
                <c:pt idx="4">
                  <c:v>En desacuerdo</c:v>
                </c:pt>
              </c:strCache>
            </c:strRef>
          </c:cat>
          <c:val>
            <c:numRef>
              <c:f>'6'!$C$2:$C$6</c:f>
              <c:numCache>
                <c:formatCode>0.0%</c:formatCode>
                <c:ptCount val="5"/>
                <c:pt idx="0">
                  <c:v>2.4390243902439025E-2</c:v>
                </c:pt>
                <c:pt idx="1">
                  <c:v>2.4390243902439025E-2</c:v>
                </c:pt>
                <c:pt idx="2">
                  <c:v>0.14634146341463414</c:v>
                </c:pt>
                <c:pt idx="3">
                  <c:v>0.41463414634146339</c:v>
                </c:pt>
                <c:pt idx="4">
                  <c:v>0.3902439024390244</c:v>
                </c:pt>
              </c:numCache>
            </c:numRef>
          </c:val>
          <c:extLst>
            <c:ext xmlns:c16="http://schemas.microsoft.com/office/drawing/2014/chart" uri="{C3380CC4-5D6E-409C-BE32-E72D297353CC}">
              <c16:uniqueId val="{00000000-D09D-49A3-9302-A02A3D2DAA65}"/>
            </c:ext>
          </c:extLst>
        </c:ser>
        <c:dLbls>
          <c:showLegendKey val="0"/>
          <c:showVal val="0"/>
          <c:showCatName val="0"/>
          <c:showSerName val="0"/>
          <c:showPercent val="0"/>
          <c:showBubbleSize val="0"/>
        </c:dLbls>
        <c:gapWidth val="219"/>
        <c:overlap val="-27"/>
        <c:axId val="486963663"/>
        <c:axId val="486953583"/>
      </c:barChart>
      <c:catAx>
        <c:axId val="4869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53583"/>
        <c:crosses val="autoZero"/>
        <c:auto val="1"/>
        <c:lblAlgn val="ctr"/>
        <c:lblOffset val="100"/>
        <c:noMultiLvlLbl val="0"/>
      </c:catAx>
      <c:valAx>
        <c:axId val="486953583"/>
        <c:scaling>
          <c:orientation val="minMax"/>
        </c:scaling>
        <c:delete val="1"/>
        <c:axPos val="l"/>
        <c:numFmt formatCode="0.0%" sourceLinked="1"/>
        <c:majorTickMark val="none"/>
        <c:minorTickMark val="none"/>
        <c:tickLblPos val="nextTo"/>
        <c:crossAx val="486963663"/>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'7'!$A$2:$A$6</c:f>
              <c:strCache>
                <c:ptCount val="5"/>
                <c:pt idx="0">
                  <c:v>Totalmente de acuerdo</c:v>
                </c:pt>
                <c:pt idx="1">
                  <c:v>De acuerdo</c:v>
                </c:pt>
                <c:pt idx="2">
                  <c:v>Neutro</c:v>
                </c:pt>
                <c:pt idx="3">
                  <c:v>Totalmente en desacuerdo</c:v>
                </c:pt>
                <c:pt idx="4">
                  <c:v>En desacuerdo</c:v>
                </c:pt>
              </c:strCache>
            </c:strRef>
          </c:cat>
          <c:val>
            <c:numRef>
              <c:f>'7'!$C$2:$C$6</c:f>
              <c:numCache>
                <c:formatCode>0.0%</c:formatCode>
                <c:ptCount val="5"/>
                <c:pt idx="0">
                  <c:v>0.43902439024390244</c:v>
                </c:pt>
                <c:pt idx="1">
                  <c:v>0.26829268292682928</c:v>
                </c:pt>
                <c:pt idx="2">
                  <c:v>9.7560975609756101E-2</c:v>
                </c:pt>
                <c:pt idx="3">
                  <c:v>0.17073170731707318</c:v>
                </c:pt>
                <c:pt idx="4">
                  <c:v>2.4390243902439025E-2</c:v>
                </c:pt>
              </c:numCache>
            </c:numRef>
          </c:val>
          <c:extLst>
            <c:ext xmlns:c16="http://schemas.microsoft.com/office/drawing/2014/chart" uri="{C3380CC4-5D6E-409C-BE32-E72D297353CC}">
              <c16:uniqueId val="{00000000-94ED-4DF4-BC8A-B3E2E940342E}"/>
            </c:ext>
          </c:extLst>
        </c:ser>
        <c:dLbls>
          <c:showLegendKey val="0"/>
          <c:showVal val="0"/>
          <c:showCatName val="0"/>
          <c:showSerName val="0"/>
          <c:showPercent val="0"/>
          <c:showBubbleSize val="0"/>
        </c:dLbls>
        <c:gapWidth val="219"/>
        <c:overlap val="-27"/>
        <c:axId val="486942543"/>
        <c:axId val="486946383"/>
      </c:barChart>
      <c:catAx>
        <c:axId val="48694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46383"/>
        <c:crosses val="autoZero"/>
        <c:auto val="1"/>
        <c:lblAlgn val="ctr"/>
        <c:lblOffset val="100"/>
        <c:noMultiLvlLbl val="0"/>
      </c:catAx>
      <c:valAx>
        <c:axId val="486946383"/>
        <c:scaling>
          <c:orientation val="minMax"/>
        </c:scaling>
        <c:delete val="1"/>
        <c:axPos val="l"/>
        <c:numFmt formatCode="0.0%" sourceLinked="1"/>
        <c:majorTickMark val="none"/>
        <c:minorTickMark val="none"/>
        <c:tickLblPos val="nextTo"/>
        <c:crossAx val="486942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'8'!$A$2:$A$6</c:f>
              <c:strCache>
                <c:ptCount val="5"/>
                <c:pt idx="0">
                  <c:v>Totalmente de acuerdo</c:v>
                </c:pt>
                <c:pt idx="1">
                  <c:v>De acuerdo</c:v>
                </c:pt>
                <c:pt idx="2">
                  <c:v>Neutro</c:v>
                </c:pt>
                <c:pt idx="3">
                  <c:v>Totalmente en desacuerdo</c:v>
                </c:pt>
                <c:pt idx="4">
                  <c:v>En desacuerdo</c:v>
                </c:pt>
              </c:strCache>
            </c:strRef>
          </c:cat>
          <c:val>
            <c:numRef>
              <c:f>'8'!$C$2:$C$6</c:f>
              <c:numCache>
                <c:formatCode>0.0%</c:formatCode>
                <c:ptCount val="5"/>
                <c:pt idx="0">
                  <c:v>2.4390243902439025E-2</c:v>
                </c:pt>
                <c:pt idx="1">
                  <c:v>4.878048780487805E-2</c:v>
                </c:pt>
                <c:pt idx="2">
                  <c:v>9.7560975609756101E-2</c:v>
                </c:pt>
                <c:pt idx="3">
                  <c:v>0.56097560975609762</c:v>
                </c:pt>
                <c:pt idx="4">
                  <c:v>0.26829268292682928</c:v>
                </c:pt>
              </c:numCache>
            </c:numRef>
          </c:val>
          <c:extLst>
            <c:ext xmlns:c16="http://schemas.microsoft.com/office/drawing/2014/chart" uri="{C3380CC4-5D6E-409C-BE32-E72D297353CC}">
              <c16:uniqueId val="{00000000-9DC2-4660-9B5C-3D9BFA1BDA93}"/>
            </c:ext>
          </c:extLst>
        </c:ser>
        <c:dLbls>
          <c:showLegendKey val="0"/>
          <c:showVal val="0"/>
          <c:showCatName val="0"/>
          <c:showSerName val="0"/>
          <c:showPercent val="0"/>
          <c:showBubbleSize val="0"/>
        </c:dLbls>
        <c:gapWidth val="219"/>
        <c:overlap val="-27"/>
        <c:axId val="486945903"/>
        <c:axId val="486947343"/>
      </c:barChart>
      <c:catAx>
        <c:axId val="48694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47343"/>
        <c:crosses val="autoZero"/>
        <c:auto val="1"/>
        <c:lblAlgn val="ctr"/>
        <c:lblOffset val="100"/>
        <c:noMultiLvlLbl val="0"/>
      </c:catAx>
      <c:valAx>
        <c:axId val="486947343"/>
        <c:scaling>
          <c:orientation val="minMax"/>
        </c:scaling>
        <c:delete val="1"/>
        <c:axPos val="l"/>
        <c:numFmt formatCode="0.0%" sourceLinked="1"/>
        <c:majorTickMark val="none"/>
        <c:minorTickMark val="none"/>
        <c:tickLblPos val="nextTo"/>
        <c:crossAx val="486945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'9'!$A$2:$A$6</c:f>
              <c:strCache>
                <c:ptCount val="5"/>
                <c:pt idx="0">
                  <c:v>Totalmente de acuerdo</c:v>
                </c:pt>
                <c:pt idx="1">
                  <c:v>De acuerdo</c:v>
                </c:pt>
                <c:pt idx="2">
                  <c:v>Neutro</c:v>
                </c:pt>
                <c:pt idx="3">
                  <c:v>Totalmente en desacuerdo</c:v>
                </c:pt>
                <c:pt idx="4">
                  <c:v>En desacuerdo</c:v>
                </c:pt>
              </c:strCache>
            </c:strRef>
          </c:cat>
          <c:val>
            <c:numRef>
              <c:f>'9'!$C$2:$C$6</c:f>
              <c:numCache>
                <c:formatCode>0.0%</c:formatCode>
                <c:ptCount val="5"/>
                <c:pt idx="0">
                  <c:v>0.41463414634146339</c:v>
                </c:pt>
                <c:pt idx="1">
                  <c:v>0.1951219512195122</c:v>
                </c:pt>
                <c:pt idx="2">
                  <c:v>0.14634146341463414</c:v>
                </c:pt>
                <c:pt idx="3">
                  <c:v>0.14634146341463414</c:v>
                </c:pt>
                <c:pt idx="4">
                  <c:v>9.7560975609756101E-2</c:v>
                </c:pt>
              </c:numCache>
            </c:numRef>
          </c:val>
          <c:extLst>
            <c:ext xmlns:c16="http://schemas.microsoft.com/office/drawing/2014/chart" uri="{C3380CC4-5D6E-409C-BE32-E72D297353CC}">
              <c16:uniqueId val="{00000000-378B-4A1F-A95E-B6E8304DAB16}"/>
            </c:ext>
          </c:extLst>
        </c:ser>
        <c:dLbls>
          <c:showLegendKey val="0"/>
          <c:showVal val="0"/>
          <c:showCatName val="0"/>
          <c:showSerName val="0"/>
          <c:showPercent val="0"/>
          <c:showBubbleSize val="0"/>
        </c:dLbls>
        <c:gapWidth val="219"/>
        <c:overlap val="-27"/>
        <c:axId val="486960783"/>
        <c:axId val="486964143"/>
      </c:barChart>
      <c:catAx>
        <c:axId val="4869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6964143"/>
        <c:crosses val="autoZero"/>
        <c:auto val="1"/>
        <c:lblAlgn val="ctr"/>
        <c:lblOffset val="100"/>
        <c:noMultiLvlLbl val="0"/>
      </c:catAx>
      <c:valAx>
        <c:axId val="486964143"/>
        <c:scaling>
          <c:orientation val="minMax"/>
        </c:scaling>
        <c:delete val="1"/>
        <c:axPos val="l"/>
        <c:numFmt formatCode="0.0%" sourceLinked="1"/>
        <c:majorTickMark val="none"/>
        <c:minorTickMark val="none"/>
        <c:tickLblPos val="nextTo"/>
        <c:crossAx val="486960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'10'!$A$2:$A$6</c:f>
              <c:strCache>
                <c:ptCount val="5"/>
                <c:pt idx="0">
                  <c:v>Totalmente de acuerdo</c:v>
                </c:pt>
                <c:pt idx="1">
                  <c:v>De acuerdo</c:v>
                </c:pt>
                <c:pt idx="2">
                  <c:v>Neutro</c:v>
                </c:pt>
                <c:pt idx="3">
                  <c:v>Totalmente en desacuerdo</c:v>
                </c:pt>
                <c:pt idx="4">
                  <c:v>En desacuerdo</c:v>
                </c:pt>
              </c:strCache>
            </c:strRef>
          </c:cat>
          <c:val>
            <c:numRef>
              <c:f>'10'!$C$2:$C$6</c:f>
              <c:numCache>
                <c:formatCode>0.0%</c:formatCode>
                <c:ptCount val="5"/>
                <c:pt idx="0">
                  <c:v>2.4390243902439025E-2</c:v>
                </c:pt>
                <c:pt idx="1">
                  <c:v>9.7560975609756101E-2</c:v>
                </c:pt>
                <c:pt idx="2">
                  <c:v>0.24390243902439024</c:v>
                </c:pt>
                <c:pt idx="3">
                  <c:v>0.43902439024390244</c:v>
                </c:pt>
                <c:pt idx="4">
                  <c:v>0.1951219512195122</c:v>
                </c:pt>
              </c:numCache>
            </c:numRef>
          </c:val>
          <c:extLst>
            <c:ext xmlns:c16="http://schemas.microsoft.com/office/drawing/2014/chart" uri="{C3380CC4-5D6E-409C-BE32-E72D297353CC}">
              <c16:uniqueId val="{00000000-36A7-4BA7-B94D-47A3F13C6BF6}"/>
            </c:ext>
          </c:extLst>
        </c:ser>
        <c:dLbls>
          <c:showLegendKey val="0"/>
          <c:showVal val="0"/>
          <c:showCatName val="0"/>
          <c:showSerName val="0"/>
          <c:showPercent val="0"/>
          <c:showBubbleSize val="0"/>
        </c:dLbls>
        <c:gapWidth val="219"/>
        <c:overlap val="-27"/>
        <c:axId val="778499887"/>
        <c:axId val="778487407"/>
      </c:barChart>
      <c:catAx>
        <c:axId val="77849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78487407"/>
        <c:crosses val="autoZero"/>
        <c:auto val="1"/>
        <c:lblAlgn val="ctr"/>
        <c:lblOffset val="100"/>
        <c:noMultiLvlLbl val="0"/>
      </c:catAx>
      <c:valAx>
        <c:axId val="778487407"/>
        <c:scaling>
          <c:orientation val="minMax"/>
        </c:scaling>
        <c:delete val="1"/>
        <c:axPos val="l"/>
        <c:numFmt formatCode="0.0%" sourceLinked="1"/>
        <c:majorTickMark val="none"/>
        <c:minorTickMark val="none"/>
        <c:tickLblPos val="nextTo"/>
        <c:crossAx val="778499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Edad!$A$2:$A$18</c:f>
              <c:numCache>
                <c:formatCode>General</c:formatCode>
                <c:ptCount val="17"/>
                <c:pt idx="0">
                  <c:v>17</c:v>
                </c:pt>
                <c:pt idx="1">
                  <c:v>18</c:v>
                </c:pt>
                <c:pt idx="2">
                  <c:v>19</c:v>
                </c:pt>
                <c:pt idx="3">
                  <c:v>20</c:v>
                </c:pt>
                <c:pt idx="4">
                  <c:v>21</c:v>
                </c:pt>
                <c:pt idx="5">
                  <c:v>22</c:v>
                </c:pt>
                <c:pt idx="6">
                  <c:v>23</c:v>
                </c:pt>
                <c:pt idx="7">
                  <c:v>25</c:v>
                </c:pt>
                <c:pt idx="8">
                  <c:v>27</c:v>
                </c:pt>
                <c:pt idx="9">
                  <c:v>28</c:v>
                </c:pt>
                <c:pt idx="10">
                  <c:v>35</c:v>
                </c:pt>
                <c:pt idx="11">
                  <c:v>38</c:v>
                </c:pt>
                <c:pt idx="12">
                  <c:v>39</c:v>
                </c:pt>
                <c:pt idx="13">
                  <c:v>43</c:v>
                </c:pt>
                <c:pt idx="14">
                  <c:v>46</c:v>
                </c:pt>
                <c:pt idx="15">
                  <c:v>49</c:v>
                </c:pt>
                <c:pt idx="16">
                  <c:v>53</c:v>
                </c:pt>
              </c:numCache>
            </c:numRef>
          </c:cat>
          <c:val>
            <c:numRef>
              <c:f>Edad!$C$2:$C$18</c:f>
              <c:numCache>
                <c:formatCode>0.0%</c:formatCode>
                <c:ptCount val="17"/>
                <c:pt idx="0">
                  <c:v>2.4390243902439025E-2</c:v>
                </c:pt>
                <c:pt idx="1">
                  <c:v>7.3170731707317069E-2</c:v>
                </c:pt>
                <c:pt idx="2">
                  <c:v>9.7560975609756101E-2</c:v>
                </c:pt>
                <c:pt idx="3">
                  <c:v>0.12195121951219512</c:v>
                </c:pt>
                <c:pt idx="4">
                  <c:v>0.1951219512195122</c:v>
                </c:pt>
                <c:pt idx="5">
                  <c:v>4.878048780487805E-2</c:v>
                </c:pt>
                <c:pt idx="6">
                  <c:v>9.7560975609756101E-2</c:v>
                </c:pt>
                <c:pt idx="7">
                  <c:v>7.3170731707317069E-2</c:v>
                </c:pt>
                <c:pt idx="8">
                  <c:v>2.4390243902439025E-2</c:v>
                </c:pt>
                <c:pt idx="9">
                  <c:v>2.4390243902439025E-2</c:v>
                </c:pt>
                <c:pt idx="10">
                  <c:v>2.4390243902439025E-2</c:v>
                </c:pt>
                <c:pt idx="11">
                  <c:v>4.878048780487805E-2</c:v>
                </c:pt>
                <c:pt idx="12">
                  <c:v>2.4390243902439025E-2</c:v>
                </c:pt>
                <c:pt idx="13">
                  <c:v>2.4390243902439025E-2</c:v>
                </c:pt>
                <c:pt idx="14">
                  <c:v>2.4390243902439025E-2</c:v>
                </c:pt>
                <c:pt idx="15">
                  <c:v>4.878048780487805E-2</c:v>
                </c:pt>
                <c:pt idx="16">
                  <c:v>2.4390243902439025E-2</c:v>
                </c:pt>
              </c:numCache>
            </c:numRef>
          </c:val>
          <c:extLst>
            <c:ext xmlns:c16="http://schemas.microsoft.com/office/drawing/2014/chart" uri="{C3380CC4-5D6E-409C-BE32-E72D297353CC}">
              <c16:uniqueId val="{00000000-FF57-4BD3-A3D7-AB5F400CE629}"/>
            </c:ext>
          </c:extLst>
        </c:ser>
        <c:dLbls>
          <c:showLegendKey val="0"/>
          <c:showVal val="0"/>
          <c:showCatName val="0"/>
          <c:showSerName val="0"/>
          <c:showPercent val="0"/>
          <c:showBubbleSize val="0"/>
        </c:dLbls>
        <c:gapWidth val="219"/>
        <c:overlap val="-27"/>
        <c:axId val="797357248"/>
        <c:axId val="797356768"/>
      </c:barChart>
      <c:catAx>
        <c:axId val="7973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7356768"/>
        <c:crosses val="autoZero"/>
        <c:auto val="1"/>
        <c:lblAlgn val="ctr"/>
        <c:lblOffset val="100"/>
        <c:noMultiLvlLbl val="0"/>
      </c:catAx>
      <c:valAx>
        <c:axId val="797356768"/>
        <c:scaling>
          <c:orientation val="minMax"/>
        </c:scaling>
        <c:delete val="1"/>
        <c:axPos val="l"/>
        <c:numFmt formatCode="0.0%" sourceLinked="1"/>
        <c:majorTickMark val="none"/>
        <c:minorTickMark val="none"/>
        <c:tickLblPos val="nextTo"/>
        <c:crossAx val="79735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'Nivel educativo'!$A$2:$A$5</c:f>
              <c:strCache>
                <c:ptCount val="4"/>
                <c:pt idx="0">
                  <c:v>Posgrado</c:v>
                </c:pt>
                <c:pt idx="1">
                  <c:v>Universidad (pregrado)</c:v>
                </c:pt>
                <c:pt idx="2">
                  <c:v>Secundaria</c:v>
                </c:pt>
                <c:pt idx="3">
                  <c:v>Educación técnica o tecnológica</c:v>
                </c:pt>
              </c:strCache>
            </c:strRef>
          </c:cat>
          <c:val>
            <c:numRef>
              <c:f>'Nivel educativo'!$C$2:$C$5</c:f>
              <c:numCache>
                <c:formatCode>0.00%</c:formatCode>
                <c:ptCount val="4"/>
                <c:pt idx="0">
                  <c:v>0.24390243902439024</c:v>
                </c:pt>
                <c:pt idx="1">
                  <c:v>0.65853658536585369</c:v>
                </c:pt>
                <c:pt idx="2">
                  <c:v>7.3170731707317069E-2</c:v>
                </c:pt>
                <c:pt idx="3">
                  <c:v>2.4390243902439025E-2</c:v>
                </c:pt>
              </c:numCache>
            </c:numRef>
          </c:val>
          <c:extLst>
            <c:ext xmlns:c16="http://schemas.microsoft.com/office/drawing/2014/chart" uri="{C3380CC4-5D6E-409C-BE32-E72D297353CC}">
              <c16:uniqueId val="{00000000-59BD-489F-8EBC-7D9B2B841F55}"/>
            </c:ext>
          </c:extLst>
        </c:ser>
        <c:dLbls>
          <c:showLegendKey val="0"/>
          <c:showVal val="0"/>
          <c:showCatName val="0"/>
          <c:showSerName val="0"/>
          <c:showPercent val="0"/>
          <c:showBubbleSize val="0"/>
        </c:dLbls>
        <c:gapWidth val="219"/>
        <c:overlap val="-27"/>
        <c:axId val="778501327"/>
        <c:axId val="778491727"/>
      </c:barChart>
      <c:catAx>
        <c:axId val="77850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78491727"/>
        <c:crosses val="autoZero"/>
        <c:auto val="1"/>
        <c:lblAlgn val="ctr"/>
        <c:lblOffset val="100"/>
        <c:noMultiLvlLbl val="0"/>
      </c:catAx>
      <c:valAx>
        <c:axId val="778491727"/>
        <c:scaling>
          <c:orientation val="minMax"/>
        </c:scaling>
        <c:delete val="1"/>
        <c:axPos val="l"/>
        <c:numFmt formatCode="0.00%" sourceLinked="1"/>
        <c:majorTickMark val="none"/>
        <c:minorTickMark val="none"/>
        <c:tickLblPos val="nextTo"/>
        <c:crossAx val="778501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Genero!$A$2:$A$3</c:f>
              <c:strCache>
                <c:ptCount val="2"/>
                <c:pt idx="0">
                  <c:v>Masculino</c:v>
                </c:pt>
                <c:pt idx="1">
                  <c:v>Femenino</c:v>
                </c:pt>
              </c:strCache>
            </c:strRef>
          </c:cat>
          <c:val>
            <c:numRef>
              <c:f>Genero!$C$2:$C$3</c:f>
              <c:numCache>
                <c:formatCode>0.00%</c:formatCode>
                <c:ptCount val="2"/>
                <c:pt idx="0">
                  <c:v>0.36585365853658536</c:v>
                </c:pt>
                <c:pt idx="1">
                  <c:v>0.63414634146341464</c:v>
                </c:pt>
              </c:numCache>
            </c:numRef>
          </c:val>
          <c:extLst>
            <c:ext xmlns:c16="http://schemas.microsoft.com/office/drawing/2014/chart" uri="{C3380CC4-5D6E-409C-BE32-E72D297353CC}">
              <c16:uniqueId val="{00000000-6A87-47D6-AFDB-E8A09FB9E7E1}"/>
            </c:ext>
          </c:extLst>
        </c:ser>
        <c:dLbls>
          <c:showLegendKey val="0"/>
          <c:showVal val="0"/>
          <c:showCatName val="0"/>
          <c:showSerName val="0"/>
          <c:showPercent val="0"/>
          <c:showBubbleSize val="0"/>
        </c:dLbls>
        <c:gapWidth val="219"/>
        <c:overlap val="-27"/>
        <c:axId val="778473487"/>
        <c:axId val="778485487"/>
      </c:barChart>
      <c:catAx>
        <c:axId val="7784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78485487"/>
        <c:crosses val="autoZero"/>
        <c:auto val="1"/>
        <c:lblAlgn val="ctr"/>
        <c:lblOffset val="100"/>
        <c:noMultiLvlLbl val="0"/>
      </c:catAx>
      <c:valAx>
        <c:axId val="778485487"/>
        <c:scaling>
          <c:orientation val="minMax"/>
        </c:scaling>
        <c:delete val="1"/>
        <c:axPos val="l"/>
        <c:numFmt formatCode="0.00%" sourceLinked="1"/>
        <c:majorTickMark val="none"/>
        <c:minorTickMark val="none"/>
        <c:tickLblPos val="nextTo"/>
        <c:crossAx val="77847348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5602</xdr:colOff>
      <xdr:row>1</xdr:row>
      <xdr:rowOff>11205</xdr:rowOff>
    </xdr:from>
    <xdr:to>
      <xdr:col>9</xdr:col>
      <xdr:colOff>117662</xdr:colOff>
      <xdr:row>15</xdr:row>
      <xdr:rowOff>38099</xdr:rowOff>
    </xdr:to>
    <xdr:graphicFrame macro="">
      <xdr:nvGraphicFramePr>
        <xdr:cNvPr id="2" name="Gráfico 1">
          <a:extLst>
            <a:ext uri="{FF2B5EF4-FFF2-40B4-BE49-F238E27FC236}">
              <a16:creationId xmlns:a16="http://schemas.microsoft.com/office/drawing/2014/main" id="{9D8CFDB0-B29F-CDB2-C7CD-2DC0E4E26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5953</xdr:colOff>
      <xdr:row>1</xdr:row>
      <xdr:rowOff>3571</xdr:rowOff>
    </xdr:from>
    <xdr:to>
      <xdr:col>10</xdr:col>
      <xdr:colOff>5953</xdr:colOff>
      <xdr:row>16</xdr:row>
      <xdr:rowOff>14287</xdr:rowOff>
    </xdr:to>
    <xdr:graphicFrame macro="">
      <xdr:nvGraphicFramePr>
        <xdr:cNvPr id="2" name="Gráfico 1">
          <a:extLst>
            <a:ext uri="{FF2B5EF4-FFF2-40B4-BE49-F238E27FC236}">
              <a16:creationId xmlns:a16="http://schemas.microsoft.com/office/drawing/2014/main" id="{E346B306-0AB9-3479-8E32-9BC13349B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0</xdr:row>
      <xdr:rowOff>304800</xdr:rowOff>
    </xdr:from>
    <xdr:to>
      <xdr:col>10</xdr:col>
      <xdr:colOff>4762</xdr:colOff>
      <xdr:row>17</xdr:row>
      <xdr:rowOff>133350</xdr:rowOff>
    </xdr:to>
    <xdr:graphicFrame macro="">
      <xdr:nvGraphicFramePr>
        <xdr:cNvPr id="2" name="Gráfico 1">
          <a:extLst>
            <a:ext uri="{FF2B5EF4-FFF2-40B4-BE49-F238E27FC236}">
              <a16:creationId xmlns:a16="http://schemas.microsoft.com/office/drawing/2014/main" id="{29DE5F6A-486C-8EB4-70AC-6EB51FC03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4762</xdr:colOff>
      <xdr:row>1</xdr:row>
      <xdr:rowOff>0</xdr:rowOff>
    </xdr:from>
    <xdr:to>
      <xdr:col>10</xdr:col>
      <xdr:colOff>4762</xdr:colOff>
      <xdr:row>15</xdr:row>
      <xdr:rowOff>152400</xdr:rowOff>
    </xdr:to>
    <xdr:graphicFrame macro="">
      <xdr:nvGraphicFramePr>
        <xdr:cNvPr id="2" name="Gráfico 1">
          <a:extLst>
            <a:ext uri="{FF2B5EF4-FFF2-40B4-BE49-F238E27FC236}">
              <a16:creationId xmlns:a16="http://schemas.microsoft.com/office/drawing/2014/main" id="{53B7C986-7746-916E-C1E3-15ADA081C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14287</xdr:colOff>
      <xdr:row>0</xdr:row>
      <xdr:rowOff>457200</xdr:rowOff>
    </xdr:from>
    <xdr:to>
      <xdr:col>10</xdr:col>
      <xdr:colOff>14287</xdr:colOff>
      <xdr:row>17</xdr:row>
      <xdr:rowOff>123825</xdr:rowOff>
    </xdr:to>
    <xdr:graphicFrame macro="">
      <xdr:nvGraphicFramePr>
        <xdr:cNvPr id="2" name="Gráfico 1">
          <a:extLst>
            <a:ext uri="{FF2B5EF4-FFF2-40B4-BE49-F238E27FC236}">
              <a16:creationId xmlns:a16="http://schemas.microsoft.com/office/drawing/2014/main" id="{38BE1C0D-B69C-CF24-D184-D1926CFEE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1</xdr:row>
      <xdr:rowOff>9525</xdr:rowOff>
    </xdr:from>
    <xdr:to>
      <xdr:col>10</xdr:col>
      <xdr:colOff>4762</xdr:colOff>
      <xdr:row>17</xdr:row>
      <xdr:rowOff>0</xdr:rowOff>
    </xdr:to>
    <xdr:graphicFrame macro="">
      <xdr:nvGraphicFramePr>
        <xdr:cNvPr id="2" name="Gráfico 1">
          <a:extLst>
            <a:ext uri="{FF2B5EF4-FFF2-40B4-BE49-F238E27FC236}">
              <a16:creationId xmlns:a16="http://schemas.microsoft.com/office/drawing/2014/main" id="{F7CD20B1-BDC2-2A7A-B62D-8DC5E15FF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14287</xdr:colOff>
      <xdr:row>1</xdr:row>
      <xdr:rowOff>0</xdr:rowOff>
    </xdr:from>
    <xdr:to>
      <xdr:col>10</xdr:col>
      <xdr:colOff>14287</xdr:colOff>
      <xdr:row>17</xdr:row>
      <xdr:rowOff>152400</xdr:rowOff>
    </xdr:to>
    <xdr:graphicFrame macro="">
      <xdr:nvGraphicFramePr>
        <xdr:cNvPr id="2" name="Gráfico 1">
          <a:extLst>
            <a:ext uri="{FF2B5EF4-FFF2-40B4-BE49-F238E27FC236}">
              <a16:creationId xmlns:a16="http://schemas.microsoft.com/office/drawing/2014/main" id="{4328C7BF-9C2C-3653-7552-235A91B5C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4762</xdr:colOff>
      <xdr:row>0</xdr:row>
      <xdr:rowOff>619125</xdr:rowOff>
    </xdr:from>
    <xdr:to>
      <xdr:col>10</xdr:col>
      <xdr:colOff>4762</xdr:colOff>
      <xdr:row>15</xdr:row>
      <xdr:rowOff>123825</xdr:rowOff>
    </xdr:to>
    <xdr:graphicFrame macro="">
      <xdr:nvGraphicFramePr>
        <xdr:cNvPr id="2" name="Gráfico 1">
          <a:extLst>
            <a:ext uri="{FF2B5EF4-FFF2-40B4-BE49-F238E27FC236}">
              <a16:creationId xmlns:a16="http://schemas.microsoft.com/office/drawing/2014/main" id="{8BC37AF4-487F-614D-4BA4-378C1A3E2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738187</xdr:colOff>
      <xdr:row>0</xdr:row>
      <xdr:rowOff>304800</xdr:rowOff>
    </xdr:from>
    <xdr:to>
      <xdr:col>9</xdr:col>
      <xdr:colOff>738187</xdr:colOff>
      <xdr:row>17</xdr:row>
      <xdr:rowOff>133350</xdr:rowOff>
    </xdr:to>
    <xdr:graphicFrame macro="">
      <xdr:nvGraphicFramePr>
        <xdr:cNvPr id="2" name="Gráfico 1">
          <a:extLst>
            <a:ext uri="{FF2B5EF4-FFF2-40B4-BE49-F238E27FC236}">
              <a16:creationId xmlns:a16="http://schemas.microsoft.com/office/drawing/2014/main" id="{27F4CEB9-267D-C410-9C7D-E90FA8BC2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747712</xdr:colOff>
      <xdr:row>1</xdr:row>
      <xdr:rowOff>28575</xdr:rowOff>
    </xdr:from>
    <xdr:to>
      <xdr:col>9</xdr:col>
      <xdr:colOff>747712</xdr:colOff>
      <xdr:row>17</xdr:row>
      <xdr:rowOff>19050</xdr:rowOff>
    </xdr:to>
    <xdr:graphicFrame macro="">
      <xdr:nvGraphicFramePr>
        <xdr:cNvPr id="2" name="Gráfico 1">
          <a:extLst>
            <a:ext uri="{FF2B5EF4-FFF2-40B4-BE49-F238E27FC236}">
              <a16:creationId xmlns:a16="http://schemas.microsoft.com/office/drawing/2014/main" id="{69899FFA-1DF0-FFBB-D056-ECD6F69F6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733425</xdr:colOff>
      <xdr:row>1</xdr:row>
      <xdr:rowOff>0</xdr:rowOff>
    </xdr:from>
    <xdr:to>
      <xdr:col>10</xdr:col>
      <xdr:colOff>733425</xdr:colOff>
      <xdr:row>17</xdr:row>
      <xdr:rowOff>152400</xdr:rowOff>
    </xdr:to>
    <xdr:graphicFrame macro="">
      <xdr:nvGraphicFramePr>
        <xdr:cNvPr id="2" name="Gráfico 1">
          <a:extLst>
            <a:ext uri="{FF2B5EF4-FFF2-40B4-BE49-F238E27FC236}">
              <a16:creationId xmlns:a16="http://schemas.microsoft.com/office/drawing/2014/main" id="{25E9F919-3D30-34DD-00AE-13921E119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4762</xdr:colOff>
      <xdr:row>1</xdr:row>
      <xdr:rowOff>9525</xdr:rowOff>
    </xdr:from>
    <xdr:to>
      <xdr:col>10</xdr:col>
      <xdr:colOff>4762</xdr:colOff>
      <xdr:row>18</xdr:row>
      <xdr:rowOff>0</xdr:rowOff>
    </xdr:to>
    <xdr:graphicFrame macro="">
      <xdr:nvGraphicFramePr>
        <xdr:cNvPr id="2" name="Gráfico 1">
          <a:extLst>
            <a:ext uri="{FF2B5EF4-FFF2-40B4-BE49-F238E27FC236}">
              <a16:creationId xmlns:a16="http://schemas.microsoft.com/office/drawing/2014/main" id="{92812627-CD59-637C-1ADB-3E845CABE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747712</xdr:colOff>
      <xdr:row>1</xdr:row>
      <xdr:rowOff>0</xdr:rowOff>
    </xdr:from>
    <xdr:to>
      <xdr:col>9</xdr:col>
      <xdr:colOff>747712</xdr:colOff>
      <xdr:row>17</xdr:row>
      <xdr:rowOff>152400</xdr:rowOff>
    </xdr:to>
    <xdr:graphicFrame macro="">
      <xdr:nvGraphicFramePr>
        <xdr:cNvPr id="2" name="Gráfico 1">
          <a:extLst>
            <a:ext uri="{FF2B5EF4-FFF2-40B4-BE49-F238E27FC236}">
              <a16:creationId xmlns:a16="http://schemas.microsoft.com/office/drawing/2014/main" id="{BF5233B4-868E-B05E-3A2B-39EE819B5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42">
  <tableColumns count="19">
    <tableColumn id="1" xr3:uid="{00000000-0010-0000-0000-000001000000}" name="Marca temporal"/>
    <tableColumn id="2" xr3:uid="{00000000-0010-0000-0000-000002000000}" name="Dirección de correo electrónico"/>
    <tableColumn id="3" xr3:uid="{00000000-0010-0000-0000-000003000000}" name="Edad"/>
    <tableColumn id="4" xr3:uid="{00000000-0010-0000-0000-000004000000}" name="Género"/>
    <tableColumn id="5" xr3:uid="{00000000-0010-0000-0000-000005000000}" name="Nivel educativo"/>
    <tableColumn id="6" xr3:uid="{00000000-0010-0000-0000-000006000000}" name="Ocupación"/>
    <tableColumn id="7" xr3:uid="{00000000-0010-0000-0000-000007000000}" name="1"/>
    <tableColumn id="8" xr3:uid="{00000000-0010-0000-0000-000008000000}" name="2"/>
    <tableColumn id="9" xr3:uid="{00000000-0010-0000-0000-000009000000}" name="3"/>
    <tableColumn id="10" xr3:uid="{00000000-0010-0000-0000-00000A000000}" name="4"/>
    <tableColumn id="11" xr3:uid="{00000000-0010-0000-0000-00000B000000}" name="5"/>
    <tableColumn id="12" xr3:uid="{00000000-0010-0000-0000-00000C000000}" name="6"/>
    <tableColumn id="13" xr3:uid="{00000000-0010-0000-0000-00000D000000}" name="7"/>
    <tableColumn id="14" xr3:uid="{00000000-0010-0000-0000-00000E000000}" name="8"/>
    <tableColumn id="15" xr3:uid="{00000000-0010-0000-0000-00000F000000}" name="9"/>
    <tableColumn id="16" xr3:uid="{00000000-0010-0000-0000-000010000000}" name="10"/>
    <tableColumn id="17" xr3:uid="{00000000-0010-0000-0000-000011000000}" name="¿Cuáles son los principales aspectos positivos que resalta del producto software?"/>
    <tableColumn id="18" xr3:uid="{00000000-0010-0000-0000-000012000000}" name="¿Qué aspectos son susceptibles de ser mejorados en el producto software?"/>
    <tableColumn id="19" xr3:uid="{00000000-0010-0000-0000-000013000000}" name="¿Qué característica(s) sería(n) importante(s) incluir en el producto software para mejorar la facilidad de us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42"/>
  <sheetViews>
    <sheetView zoomScale="120" zoomScaleNormal="120" workbookViewId="0">
      <pane ySplit="1" topLeftCell="A2" activePane="bottomLeft" state="frozen"/>
      <selection pane="bottomLeft" activeCell="D1" sqref="D1:D1048576"/>
    </sheetView>
  </sheetViews>
  <sheetFormatPr baseColWidth="10" defaultColWidth="12.5703125" defaultRowHeight="15.75" customHeight="1" x14ac:dyDescent="0.2"/>
  <cols>
    <col min="1" max="1" width="18.85546875" customWidth="1"/>
    <col min="2" max="2" width="27.85546875" customWidth="1"/>
    <col min="3" max="6" width="18.85546875" customWidth="1"/>
    <col min="7" max="8" width="37.5703125" customWidth="1"/>
    <col min="9" max="9" width="34" customWidth="1"/>
    <col min="10" max="14" width="37.5703125" customWidth="1"/>
    <col min="15" max="15" width="37.42578125" customWidth="1"/>
    <col min="16" max="19" width="37.5703125" customWidth="1"/>
    <col min="20" max="25" width="18.85546875" customWidth="1"/>
  </cols>
  <sheetData>
    <row r="1" spans="1:19" ht="22.5" customHeight="1" x14ac:dyDescent="0.2">
      <c r="A1" s="1" t="s">
        <v>0</v>
      </c>
      <c r="B1" s="1" t="s">
        <v>1</v>
      </c>
      <c r="C1" s="1" t="s">
        <v>2</v>
      </c>
      <c r="D1" s="1" t="s">
        <v>3</v>
      </c>
      <c r="E1" s="1" t="s">
        <v>4</v>
      </c>
      <c r="F1" s="1" t="s">
        <v>5</v>
      </c>
      <c r="G1" s="4" t="s">
        <v>174</v>
      </c>
      <c r="H1" s="5" t="s">
        <v>175</v>
      </c>
      <c r="I1" s="4" t="s">
        <v>176</v>
      </c>
      <c r="J1" s="5" t="s">
        <v>177</v>
      </c>
      <c r="K1" s="4" t="s">
        <v>178</v>
      </c>
      <c r="L1" s="5" t="s">
        <v>179</v>
      </c>
      <c r="M1" s="4" t="s">
        <v>180</v>
      </c>
      <c r="N1" s="5" t="s">
        <v>181</v>
      </c>
      <c r="O1" s="4" t="s">
        <v>182</v>
      </c>
      <c r="P1" s="5" t="s">
        <v>183</v>
      </c>
      <c r="Q1" s="1" t="s">
        <v>6</v>
      </c>
      <c r="R1" s="1" t="s">
        <v>7</v>
      </c>
      <c r="S1" s="1" t="s">
        <v>8</v>
      </c>
    </row>
    <row r="2" spans="1:19" ht="22.5" customHeight="1" x14ac:dyDescent="0.2">
      <c r="A2" s="2">
        <v>46119.410441192129</v>
      </c>
      <c r="B2" s="3" t="s">
        <v>9</v>
      </c>
      <c r="C2" s="3">
        <v>38</v>
      </c>
      <c r="D2" s="3" t="s">
        <v>10</v>
      </c>
      <c r="E2" s="3" t="s">
        <v>11</v>
      </c>
      <c r="F2" s="3" t="s">
        <v>12</v>
      </c>
      <c r="G2" s="3" t="s">
        <v>13</v>
      </c>
      <c r="H2" s="3" t="s">
        <v>14</v>
      </c>
      <c r="I2" s="3" t="s">
        <v>14</v>
      </c>
      <c r="J2" s="3" t="s">
        <v>15</v>
      </c>
      <c r="K2" s="3" t="s">
        <v>13</v>
      </c>
      <c r="L2" s="3" t="s">
        <v>14</v>
      </c>
      <c r="M2" s="3" t="s">
        <v>15</v>
      </c>
      <c r="N2" s="3" t="s">
        <v>16</v>
      </c>
      <c r="O2" s="3" t="s">
        <v>13</v>
      </c>
      <c r="P2" s="3" t="s">
        <v>15</v>
      </c>
      <c r="Q2" s="3" t="s">
        <v>17</v>
      </c>
      <c r="R2" s="3" t="s">
        <v>18</v>
      </c>
      <c r="S2" s="3" t="s">
        <v>19</v>
      </c>
    </row>
    <row r="3" spans="1:19" ht="22.5" customHeight="1" x14ac:dyDescent="0.2">
      <c r="A3" s="2">
        <v>46119.434295150466</v>
      </c>
      <c r="B3" s="3" t="s">
        <v>20</v>
      </c>
      <c r="C3" s="3">
        <v>35</v>
      </c>
      <c r="D3" s="3" t="s">
        <v>21</v>
      </c>
      <c r="E3" s="3" t="s">
        <v>11</v>
      </c>
      <c r="F3" s="3" t="s">
        <v>12</v>
      </c>
      <c r="G3" s="3" t="s">
        <v>15</v>
      </c>
      <c r="H3" s="3" t="s">
        <v>16</v>
      </c>
      <c r="I3" s="3" t="s">
        <v>13</v>
      </c>
      <c r="J3" s="3" t="s">
        <v>22</v>
      </c>
      <c r="K3" s="3" t="s">
        <v>15</v>
      </c>
      <c r="L3" s="3" t="s">
        <v>16</v>
      </c>
      <c r="M3" s="3" t="s">
        <v>14</v>
      </c>
      <c r="N3" s="3" t="s">
        <v>16</v>
      </c>
      <c r="O3" s="3" t="s">
        <v>15</v>
      </c>
      <c r="P3" s="3" t="s">
        <v>22</v>
      </c>
      <c r="Q3" s="3" t="s">
        <v>23</v>
      </c>
      <c r="R3" s="3" t="s">
        <v>24</v>
      </c>
      <c r="S3" s="3" t="s">
        <v>25</v>
      </c>
    </row>
    <row r="4" spans="1:19" ht="22.5" customHeight="1" x14ac:dyDescent="0.2">
      <c r="A4" s="2">
        <v>46119.44260328704</v>
      </c>
      <c r="B4" s="3" t="s">
        <v>26</v>
      </c>
      <c r="C4" s="3">
        <v>43</v>
      </c>
      <c r="D4" s="3" t="s">
        <v>21</v>
      </c>
      <c r="E4" s="3" t="s">
        <v>11</v>
      </c>
      <c r="F4" s="3" t="s">
        <v>12</v>
      </c>
      <c r="G4" s="3" t="s">
        <v>14</v>
      </c>
      <c r="H4" s="3" t="s">
        <v>16</v>
      </c>
      <c r="I4" s="3" t="s">
        <v>13</v>
      </c>
      <c r="J4" s="3" t="s">
        <v>16</v>
      </c>
      <c r="K4" s="3" t="s">
        <v>13</v>
      </c>
      <c r="L4" s="3" t="s">
        <v>22</v>
      </c>
      <c r="M4" s="3" t="s">
        <v>13</v>
      </c>
      <c r="N4" s="3" t="s">
        <v>16</v>
      </c>
      <c r="O4" s="3" t="s">
        <v>15</v>
      </c>
      <c r="P4" s="3" t="s">
        <v>16</v>
      </c>
      <c r="Q4" s="3" t="s">
        <v>27</v>
      </c>
      <c r="R4" s="3" t="s">
        <v>28</v>
      </c>
      <c r="S4" s="3" t="s">
        <v>29</v>
      </c>
    </row>
    <row r="5" spans="1:19" ht="22.5" customHeight="1" x14ac:dyDescent="0.2">
      <c r="A5" s="2">
        <v>46119.457206516206</v>
      </c>
      <c r="B5" s="3" t="s">
        <v>30</v>
      </c>
      <c r="C5" s="3">
        <v>49</v>
      </c>
      <c r="D5" s="3" t="s">
        <v>10</v>
      </c>
      <c r="E5" s="3" t="s">
        <v>11</v>
      </c>
      <c r="F5" s="3" t="s">
        <v>12</v>
      </c>
      <c r="G5" s="3" t="s">
        <v>15</v>
      </c>
      <c r="H5" s="3" t="s">
        <v>16</v>
      </c>
      <c r="I5" s="3" t="s">
        <v>13</v>
      </c>
      <c r="J5" s="3" t="s">
        <v>16</v>
      </c>
      <c r="K5" s="3" t="s">
        <v>15</v>
      </c>
      <c r="L5" s="3" t="s">
        <v>16</v>
      </c>
      <c r="M5" s="3" t="s">
        <v>15</v>
      </c>
      <c r="N5" s="3" t="s">
        <v>16</v>
      </c>
      <c r="O5" s="3" t="s">
        <v>15</v>
      </c>
      <c r="P5" s="3" t="s">
        <v>16</v>
      </c>
      <c r="Q5" s="3" t="s">
        <v>31</v>
      </c>
      <c r="R5" s="3" t="s">
        <v>32</v>
      </c>
      <c r="S5" s="3" t="s">
        <v>33</v>
      </c>
    </row>
    <row r="6" spans="1:19" ht="22.5" customHeight="1" x14ac:dyDescent="0.2">
      <c r="A6" s="2">
        <v>46119.464777696761</v>
      </c>
      <c r="B6" s="3" t="s">
        <v>34</v>
      </c>
      <c r="C6" s="3">
        <v>53</v>
      </c>
      <c r="D6" s="3" t="s">
        <v>21</v>
      </c>
      <c r="E6" s="3" t="s">
        <v>11</v>
      </c>
      <c r="F6" s="3" t="s">
        <v>12</v>
      </c>
      <c r="G6" s="3" t="s">
        <v>13</v>
      </c>
      <c r="H6" s="3" t="s">
        <v>16</v>
      </c>
      <c r="I6" s="3" t="s">
        <v>13</v>
      </c>
      <c r="J6" s="3" t="s">
        <v>15</v>
      </c>
      <c r="K6" s="3" t="s">
        <v>13</v>
      </c>
      <c r="L6" s="3" t="s">
        <v>16</v>
      </c>
      <c r="M6" s="3" t="s">
        <v>13</v>
      </c>
      <c r="N6" s="3" t="s">
        <v>16</v>
      </c>
      <c r="O6" s="3" t="s">
        <v>13</v>
      </c>
      <c r="P6" s="3" t="s">
        <v>15</v>
      </c>
      <c r="Q6" s="3" t="s">
        <v>35</v>
      </c>
      <c r="R6" s="3" t="s">
        <v>36</v>
      </c>
      <c r="S6" s="3" t="s">
        <v>37</v>
      </c>
    </row>
    <row r="7" spans="1:19" ht="22.5" customHeight="1" x14ac:dyDescent="0.2">
      <c r="A7" s="2">
        <v>46119.467555983792</v>
      </c>
      <c r="B7" s="3" t="s">
        <v>38</v>
      </c>
      <c r="C7" s="3">
        <v>46</v>
      </c>
      <c r="D7" s="3" t="s">
        <v>21</v>
      </c>
      <c r="E7" s="3" t="s">
        <v>11</v>
      </c>
      <c r="F7" s="3" t="s">
        <v>12</v>
      </c>
      <c r="G7" s="3" t="s">
        <v>15</v>
      </c>
      <c r="H7" s="3" t="s">
        <v>16</v>
      </c>
      <c r="I7" s="3" t="s">
        <v>13</v>
      </c>
      <c r="J7" s="3" t="s">
        <v>16</v>
      </c>
      <c r="K7" s="3" t="s">
        <v>13</v>
      </c>
      <c r="L7" s="3" t="s">
        <v>16</v>
      </c>
      <c r="M7" s="3" t="s">
        <v>13</v>
      </c>
      <c r="N7" s="3" t="s">
        <v>16</v>
      </c>
      <c r="O7" s="3" t="s">
        <v>13</v>
      </c>
      <c r="P7" s="3" t="s">
        <v>16</v>
      </c>
      <c r="Q7" s="3" t="s">
        <v>39</v>
      </c>
      <c r="R7" s="3" t="s">
        <v>40</v>
      </c>
      <c r="S7" s="3" t="s">
        <v>41</v>
      </c>
    </row>
    <row r="8" spans="1:19" ht="22.5" customHeight="1" x14ac:dyDescent="0.2">
      <c r="A8" s="2">
        <v>46121.352049745372</v>
      </c>
      <c r="B8" s="3" t="s">
        <v>42</v>
      </c>
      <c r="C8" s="3">
        <v>39</v>
      </c>
      <c r="D8" s="3" t="s">
        <v>21</v>
      </c>
      <c r="E8" s="3" t="s">
        <v>11</v>
      </c>
      <c r="F8" s="3" t="s">
        <v>12</v>
      </c>
      <c r="G8" s="3" t="s">
        <v>15</v>
      </c>
      <c r="H8" s="3" t="s">
        <v>22</v>
      </c>
      <c r="I8" s="3" t="s">
        <v>15</v>
      </c>
      <c r="J8" s="3" t="s">
        <v>16</v>
      </c>
      <c r="K8" s="3" t="s">
        <v>15</v>
      </c>
      <c r="L8" s="3" t="s">
        <v>16</v>
      </c>
      <c r="M8" s="3" t="s">
        <v>13</v>
      </c>
      <c r="N8" s="3" t="s">
        <v>16</v>
      </c>
      <c r="O8" s="3" t="s">
        <v>15</v>
      </c>
      <c r="P8" s="3" t="s">
        <v>16</v>
      </c>
      <c r="Q8" s="3" t="s">
        <v>43</v>
      </c>
      <c r="R8" s="3" t="s">
        <v>44</v>
      </c>
      <c r="S8" s="3" t="s">
        <v>45</v>
      </c>
    </row>
    <row r="9" spans="1:19" ht="22.5" customHeight="1" x14ac:dyDescent="0.2">
      <c r="A9" s="2">
        <v>46122.469499525461</v>
      </c>
      <c r="B9" s="3" t="s">
        <v>46</v>
      </c>
      <c r="C9" s="3">
        <v>49</v>
      </c>
      <c r="D9" s="3" t="s">
        <v>10</v>
      </c>
      <c r="E9" s="3" t="s">
        <v>11</v>
      </c>
      <c r="F9" s="3" t="s">
        <v>12</v>
      </c>
      <c r="G9" s="3" t="s">
        <v>15</v>
      </c>
      <c r="H9" s="3" t="s">
        <v>14</v>
      </c>
      <c r="I9" s="3" t="s">
        <v>14</v>
      </c>
      <c r="J9" s="3" t="s">
        <v>15</v>
      </c>
      <c r="K9" s="3" t="s">
        <v>15</v>
      </c>
      <c r="L9" s="3" t="s">
        <v>22</v>
      </c>
      <c r="M9" s="3" t="s">
        <v>15</v>
      </c>
      <c r="N9" s="3" t="s">
        <v>22</v>
      </c>
      <c r="O9" s="3" t="s">
        <v>14</v>
      </c>
      <c r="P9" s="3" t="s">
        <v>14</v>
      </c>
      <c r="Q9" s="3" t="s">
        <v>47</v>
      </c>
      <c r="R9" s="3" t="s">
        <v>48</v>
      </c>
      <c r="S9" s="3" t="s">
        <v>49</v>
      </c>
    </row>
    <row r="10" spans="1:19" ht="22.5" customHeight="1" x14ac:dyDescent="0.2">
      <c r="A10" s="2">
        <v>46122.508353715282</v>
      </c>
      <c r="B10" s="3" t="s">
        <v>50</v>
      </c>
      <c r="C10" s="3">
        <v>38</v>
      </c>
      <c r="D10" s="3" t="s">
        <v>21</v>
      </c>
      <c r="E10" s="3" t="s">
        <v>11</v>
      </c>
      <c r="F10" s="3" t="s">
        <v>12</v>
      </c>
      <c r="G10" s="3" t="s">
        <v>15</v>
      </c>
      <c r="H10" s="3" t="s">
        <v>16</v>
      </c>
      <c r="I10" s="3" t="s">
        <v>13</v>
      </c>
      <c r="J10" s="3" t="s">
        <v>14</v>
      </c>
      <c r="K10" s="3" t="s">
        <v>13</v>
      </c>
      <c r="L10" s="3" t="s">
        <v>22</v>
      </c>
      <c r="M10" s="3" t="s">
        <v>15</v>
      </c>
      <c r="N10" s="3" t="s">
        <v>16</v>
      </c>
      <c r="O10" s="3" t="s">
        <v>13</v>
      </c>
      <c r="P10" s="3" t="s">
        <v>22</v>
      </c>
      <c r="Q10" s="3" t="s">
        <v>51</v>
      </c>
      <c r="R10" s="3" t="s">
        <v>52</v>
      </c>
      <c r="S10" s="3" t="s">
        <v>53</v>
      </c>
    </row>
    <row r="11" spans="1:19" ht="22.5" customHeight="1" x14ac:dyDescent="0.2">
      <c r="A11" s="2">
        <v>46122.526378645838</v>
      </c>
      <c r="B11" s="3" t="s">
        <v>54</v>
      </c>
      <c r="C11" s="3">
        <v>20</v>
      </c>
      <c r="D11" s="3" t="s">
        <v>21</v>
      </c>
      <c r="E11" s="3" t="s">
        <v>55</v>
      </c>
      <c r="F11" s="3" t="s">
        <v>56</v>
      </c>
      <c r="G11" s="3" t="s">
        <v>13</v>
      </c>
      <c r="H11" s="3" t="s">
        <v>14</v>
      </c>
      <c r="I11" s="3" t="s">
        <v>15</v>
      </c>
      <c r="J11" s="3" t="s">
        <v>16</v>
      </c>
      <c r="K11" s="3" t="s">
        <v>13</v>
      </c>
      <c r="L11" s="3" t="s">
        <v>22</v>
      </c>
      <c r="M11" s="3" t="s">
        <v>15</v>
      </c>
      <c r="N11" s="3" t="s">
        <v>16</v>
      </c>
      <c r="O11" s="3" t="s">
        <v>13</v>
      </c>
      <c r="P11" s="3" t="s">
        <v>16</v>
      </c>
      <c r="Q11" s="3" t="s">
        <v>57</v>
      </c>
      <c r="R11" s="3" t="s">
        <v>58</v>
      </c>
      <c r="S11" s="3" t="s">
        <v>59</v>
      </c>
    </row>
    <row r="12" spans="1:19" ht="22.5" customHeight="1" x14ac:dyDescent="0.2">
      <c r="A12" s="2">
        <v>46122.526451481477</v>
      </c>
      <c r="B12" s="3" t="s">
        <v>60</v>
      </c>
      <c r="C12" s="3">
        <v>20</v>
      </c>
      <c r="D12" s="3" t="s">
        <v>21</v>
      </c>
      <c r="E12" s="3" t="s">
        <v>55</v>
      </c>
      <c r="F12" s="3" t="s">
        <v>56</v>
      </c>
      <c r="G12" s="3" t="s">
        <v>13</v>
      </c>
      <c r="H12" s="3" t="s">
        <v>14</v>
      </c>
      <c r="I12" s="3" t="s">
        <v>14</v>
      </c>
      <c r="J12" s="3" t="s">
        <v>22</v>
      </c>
      <c r="K12" s="3" t="s">
        <v>13</v>
      </c>
      <c r="L12" s="3" t="s">
        <v>16</v>
      </c>
      <c r="M12" s="3" t="s">
        <v>13</v>
      </c>
      <c r="N12" s="3" t="s">
        <v>16</v>
      </c>
      <c r="O12" s="3" t="s">
        <v>13</v>
      </c>
      <c r="P12" s="3" t="s">
        <v>16</v>
      </c>
      <c r="Q12" s="3" t="s">
        <v>61</v>
      </c>
      <c r="R12" s="3" t="s">
        <v>62</v>
      </c>
      <c r="S12" s="3" t="s">
        <v>63</v>
      </c>
    </row>
    <row r="13" spans="1:19" ht="22.5" customHeight="1" x14ac:dyDescent="0.2">
      <c r="A13" s="2">
        <v>46122.570715208334</v>
      </c>
      <c r="B13" s="3" t="s">
        <v>64</v>
      </c>
      <c r="C13" s="3">
        <v>17</v>
      </c>
      <c r="D13" s="3" t="s">
        <v>21</v>
      </c>
      <c r="E13" s="3" t="s">
        <v>55</v>
      </c>
      <c r="F13" s="3" t="s">
        <v>56</v>
      </c>
      <c r="G13" s="3" t="s">
        <v>13</v>
      </c>
      <c r="H13" s="3" t="s">
        <v>16</v>
      </c>
      <c r="I13" s="3" t="s">
        <v>16</v>
      </c>
      <c r="J13" s="3" t="s">
        <v>16</v>
      </c>
      <c r="K13" s="3" t="s">
        <v>13</v>
      </c>
      <c r="L13" s="3" t="s">
        <v>22</v>
      </c>
      <c r="M13" s="3" t="s">
        <v>13</v>
      </c>
      <c r="N13" s="3" t="s">
        <v>16</v>
      </c>
      <c r="O13" s="3" t="s">
        <v>13</v>
      </c>
      <c r="P13" s="3" t="s">
        <v>14</v>
      </c>
      <c r="Q13" s="3" t="s">
        <v>65</v>
      </c>
      <c r="R13" s="3" t="s">
        <v>66</v>
      </c>
      <c r="S13" s="3" t="s">
        <v>67</v>
      </c>
    </row>
    <row r="14" spans="1:19" ht="22.5" customHeight="1" x14ac:dyDescent="0.2">
      <c r="A14" s="2">
        <v>46122.571140601853</v>
      </c>
      <c r="B14" s="3" t="s">
        <v>68</v>
      </c>
      <c r="C14" s="3">
        <v>19</v>
      </c>
      <c r="D14" s="3" t="s">
        <v>10</v>
      </c>
      <c r="E14" s="3" t="s">
        <v>55</v>
      </c>
      <c r="F14" s="3" t="s">
        <v>56</v>
      </c>
      <c r="G14" s="3" t="s">
        <v>13</v>
      </c>
      <c r="H14" s="3" t="s">
        <v>14</v>
      </c>
      <c r="I14" s="3" t="s">
        <v>16</v>
      </c>
      <c r="J14" s="3" t="s">
        <v>16</v>
      </c>
      <c r="K14" s="3" t="s">
        <v>13</v>
      </c>
      <c r="L14" s="3" t="s">
        <v>16</v>
      </c>
      <c r="M14" s="3" t="s">
        <v>13</v>
      </c>
      <c r="N14" s="3" t="s">
        <v>16</v>
      </c>
      <c r="O14" s="3" t="s">
        <v>13</v>
      </c>
      <c r="P14" s="3" t="s">
        <v>16</v>
      </c>
      <c r="Q14" s="3"/>
      <c r="R14" s="3"/>
      <c r="S14" s="3"/>
    </row>
    <row r="15" spans="1:19" ht="22.5" customHeight="1" x14ac:dyDescent="0.2">
      <c r="A15" s="2">
        <v>46122.571542199075</v>
      </c>
      <c r="B15" s="3" t="s">
        <v>69</v>
      </c>
      <c r="C15" s="3">
        <v>18</v>
      </c>
      <c r="D15" s="3" t="s">
        <v>21</v>
      </c>
      <c r="E15" s="3" t="s">
        <v>55</v>
      </c>
      <c r="F15" s="3" t="s">
        <v>56</v>
      </c>
      <c r="G15" s="3" t="s">
        <v>16</v>
      </c>
      <c r="H15" s="3" t="s">
        <v>22</v>
      </c>
      <c r="I15" s="3" t="s">
        <v>16</v>
      </c>
      <c r="J15" s="3" t="s">
        <v>16</v>
      </c>
      <c r="K15" s="3" t="s">
        <v>16</v>
      </c>
      <c r="L15" s="3" t="s">
        <v>22</v>
      </c>
      <c r="M15" s="3" t="s">
        <v>16</v>
      </c>
      <c r="N15" s="3" t="s">
        <v>22</v>
      </c>
      <c r="O15" s="3" t="s">
        <v>16</v>
      </c>
      <c r="P15" s="3" t="s">
        <v>22</v>
      </c>
      <c r="Q15" s="3"/>
      <c r="R15" s="3"/>
      <c r="S15" s="3"/>
    </row>
    <row r="16" spans="1:19" ht="22.5" customHeight="1" x14ac:dyDescent="0.2">
      <c r="A16" s="2">
        <v>46122.571666087963</v>
      </c>
      <c r="B16" s="3" t="s">
        <v>70</v>
      </c>
      <c r="C16" s="3">
        <v>18</v>
      </c>
      <c r="D16" s="3" t="s">
        <v>21</v>
      </c>
      <c r="E16" s="3" t="s">
        <v>55</v>
      </c>
      <c r="F16" s="3" t="s">
        <v>56</v>
      </c>
      <c r="G16" s="3" t="s">
        <v>13</v>
      </c>
      <c r="H16" s="3" t="s">
        <v>14</v>
      </c>
      <c r="I16" s="3" t="s">
        <v>15</v>
      </c>
      <c r="J16" s="3" t="s">
        <v>15</v>
      </c>
      <c r="K16" s="3" t="s">
        <v>15</v>
      </c>
      <c r="L16" s="3" t="s">
        <v>22</v>
      </c>
      <c r="M16" s="3" t="s">
        <v>14</v>
      </c>
      <c r="N16" s="3" t="s">
        <v>15</v>
      </c>
      <c r="O16" s="3" t="s">
        <v>13</v>
      </c>
      <c r="P16" s="3" t="s">
        <v>16</v>
      </c>
      <c r="Q16" s="3" t="s">
        <v>71</v>
      </c>
      <c r="R16" s="3" t="s">
        <v>72</v>
      </c>
      <c r="S16" s="3" t="s">
        <v>62</v>
      </c>
    </row>
    <row r="17" spans="1:19" ht="22.5" customHeight="1" x14ac:dyDescent="0.2">
      <c r="A17" s="2">
        <v>46122.572836354171</v>
      </c>
      <c r="B17" s="3" t="s">
        <v>73</v>
      </c>
      <c r="C17" s="3">
        <v>22</v>
      </c>
      <c r="D17" s="3" t="s">
        <v>10</v>
      </c>
      <c r="E17" s="3" t="s">
        <v>55</v>
      </c>
      <c r="F17" s="3" t="s">
        <v>56</v>
      </c>
      <c r="G17" s="3" t="s">
        <v>16</v>
      </c>
      <c r="H17" s="3" t="s">
        <v>22</v>
      </c>
      <c r="I17" s="3" t="s">
        <v>16</v>
      </c>
      <c r="J17" s="3" t="s">
        <v>22</v>
      </c>
      <c r="K17" s="3" t="s">
        <v>16</v>
      </c>
      <c r="L17" s="3" t="s">
        <v>16</v>
      </c>
      <c r="M17" s="3" t="s">
        <v>16</v>
      </c>
      <c r="N17" s="3" t="s">
        <v>16</v>
      </c>
      <c r="O17" s="3" t="s">
        <v>16</v>
      </c>
      <c r="P17" s="3" t="s">
        <v>16</v>
      </c>
      <c r="Q17" s="3" t="s">
        <v>74</v>
      </c>
      <c r="R17" s="3" t="s">
        <v>75</v>
      </c>
      <c r="S17" s="3" t="s">
        <v>75</v>
      </c>
    </row>
    <row r="18" spans="1:19" ht="22.5" customHeight="1" x14ac:dyDescent="0.2">
      <c r="A18" s="2">
        <v>46122.586143645836</v>
      </c>
      <c r="B18" s="3" t="s">
        <v>76</v>
      </c>
      <c r="C18" s="3">
        <v>18</v>
      </c>
      <c r="D18" s="3" t="s">
        <v>10</v>
      </c>
      <c r="E18" s="3" t="s">
        <v>55</v>
      </c>
      <c r="F18" s="3" t="s">
        <v>56</v>
      </c>
      <c r="G18" s="3" t="s">
        <v>14</v>
      </c>
      <c r="H18" s="3" t="s">
        <v>22</v>
      </c>
      <c r="I18" s="3" t="s">
        <v>16</v>
      </c>
      <c r="J18" s="3" t="s">
        <v>22</v>
      </c>
      <c r="K18" s="3" t="s">
        <v>15</v>
      </c>
      <c r="L18" s="3" t="s">
        <v>14</v>
      </c>
      <c r="M18" s="3" t="s">
        <v>15</v>
      </c>
      <c r="N18" s="3" t="s">
        <v>14</v>
      </c>
      <c r="O18" s="3" t="s">
        <v>15</v>
      </c>
      <c r="P18" s="3" t="s">
        <v>13</v>
      </c>
      <c r="Q18" s="3" t="s">
        <v>77</v>
      </c>
      <c r="R18" s="3" t="s">
        <v>78</v>
      </c>
      <c r="S18" s="3" t="s">
        <v>79</v>
      </c>
    </row>
    <row r="19" spans="1:19" ht="22.5" customHeight="1" x14ac:dyDescent="0.2">
      <c r="A19" s="2">
        <v>46122.684534641201</v>
      </c>
      <c r="B19" s="3" t="s">
        <v>80</v>
      </c>
      <c r="C19" s="3">
        <v>20</v>
      </c>
      <c r="D19" s="3" t="s">
        <v>21</v>
      </c>
      <c r="E19" s="3" t="s">
        <v>55</v>
      </c>
      <c r="F19" s="3" t="s">
        <v>56</v>
      </c>
      <c r="G19" s="3" t="s">
        <v>16</v>
      </c>
      <c r="H19" s="3" t="s">
        <v>22</v>
      </c>
      <c r="I19" s="3" t="s">
        <v>14</v>
      </c>
      <c r="J19" s="3" t="s">
        <v>22</v>
      </c>
      <c r="K19" s="3" t="s">
        <v>16</v>
      </c>
      <c r="L19" s="3" t="s">
        <v>22</v>
      </c>
      <c r="M19" s="3" t="s">
        <v>16</v>
      </c>
      <c r="N19" s="3" t="s">
        <v>22</v>
      </c>
      <c r="O19" s="3" t="s">
        <v>16</v>
      </c>
      <c r="P19" s="3" t="s">
        <v>22</v>
      </c>
      <c r="Q19" s="3" t="s">
        <v>81</v>
      </c>
      <c r="R19" s="3" t="s">
        <v>82</v>
      </c>
      <c r="S19" s="3" t="s">
        <v>83</v>
      </c>
    </row>
    <row r="20" spans="1:19" ht="22.5" customHeight="1" x14ac:dyDescent="0.2">
      <c r="A20" s="2">
        <v>46122.687465358795</v>
      </c>
      <c r="B20" s="3" t="s">
        <v>84</v>
      </c>
      <c r="C20" s="3">
        <v>23</v>
      </c>
      <c r="D20" s="3" t="s">
        <v>21</v>
      </c>
      <c r="E20" s="3" t="s">
        <v>85</v>
      </c>
      <c r="F20" s="3" t="s">
        <v>56</v>
      </c>
      <c r="G20" s="3" t="s">
        <v>13</v>
      </c>
      <c r="H20" s="3" t="s">
        <v>16</v>
      </c>
      <c r="I20" s="3" t="s">
        <v>16</v>
      </c>
      <c r="J20" s="3" t="s">
        <v>16</v>
      </c>
      <c r="K20" s="3" t="s">
        <v>13</v>
      </c>
      <c r="L20" s="3" t="s">
        <v>16</v>
      </c>
      <c r="M20" s="3" t="s">
        <v>13</v>
      </c>
      <c r="N20" s="3" t="s">
        <v>16</v>
      </c>
      <c r="O20" s="3" t="s">
        <v>13</v>
      </c>
      <c r="P20" s="3" t="s">
        <v>16</v>
      </c>
      <c r="Q20" s="3" t="s">
        <v>86</v>
      </c>
      <c r="R20" s="3" t="s">
        <v>87</v>
      </c>
      <c r="S20" s="3" t="s">
        <v>88</v>
      </c>
    </row>
    <row r="21" spans="1:19" ht="22.5" customHeight="1" x14ac:dyDescent="0.2">
      <c r="A21" s="2">
        <v>46122.697414699069</v>
      </c>
      <c r="B21" s="3" t="s">
        <v>89</v>
      </c>
      <c r="C21" s="3">
        <v>27</v>
      </c>
      <c r="D21" s="3" t="s">
        <v>21</v>
      </c>
      <c r="E21" s="3" t="s">
        <v>11</v>
      </c>
      <c r="F21" s="3" t="s">
        <v>12</v>
      </c>
      <c r="G21" s="3" t="s">
        <v>13</v>
      </c>
      <c r="H21" s="3" t="s">
        <v>16</v>
      </c>
      <c r="I21" s="3" t="s">
        <v>22</v>
      </c>
      <c r="J21" s="3" t="s">
        <v>16</v>
      </c>
      <c r="K21" s="3" t="s">
        <v>13</v>
      </c>
      <c r="L21" s="3" t="s">
        <v>16</v>
      </c>
      <c r="M21" s="3" t="s">
        <v>13</v>
      </c>
      <c r="N21" s="3" t="s">
        <v>16</v>
      </c>
      <c r="O21" s="3" t="s">
        <v>13</v>
      </c>
      <c r="P21" s="3" t="s">
        <v>16</v>
      </c>
      <c r="Q21" s="3" t="s">
        <v>90</v>
      </c>
      <c r="R21" s="3"/>
      <c r="S21" s="3"/>
    </row>
    <row r="22" spans="1:19" ht="22.5" customHeight="1" x14ac:dyDescent="0.2">
      <c r="A22" s="2">
        <v>46122.699353761578</v>
      </c>
      <c r="B22" s="3" t="s">
        <v>91</v>
      </c>
      <c r="C22" s="3">
        <v>19</v>
      </c>
      <c r="D22" s="3" t="s">
        <v>10</v>
      </c>
      <c r="E22" s="3" t="s">
        <v>55</v>
      </c>
      <c r="F22" s="3" t="s">
        <v>56</v>
      </c>
      <c r="G22" s="3" t="s">
        <v>15</v>
      </c>
      <c r="H22" s="3" t="s">
        <v>22</v>
      </c>
      <c r="I22" s="3" t="s">
        <v>15</v>
      </c>
      <c r="J22" s="3" t="s">
        <v>15</v>
      </c>
      <c r="K22" s="3" t="s">
        <v>14</v>
      </c>
      <c r="L22" s="3" t="s">
        <v>14</v>
      </c>
      <c r="M22" s="3" t="s">
        <v>15</v>
      </c>
      <c r="N22" s="3" t="s">
        <v>22</v>
      </c>
      <c r="O22" s="3" t="s">
        <v>15</v>
      </c>
      <c r="P22" s="3" t="s">
        <v>16</v>
      </c>
      <c r="Q22" s="3" t="s">
        <v>92</v>
      </c>
      <c r="R22" s="3" t="s">
        <v>93</v>
      </c>
      <c r="S22" s="3" t="s">
        <v>94</v>
      </c>
    </row>
    <row r="23" spans="1:19" ht="22.5" customHeight="1" x14ac:dyDescent="0.2">
      <c r="A23" s="2">
        <v>46122.699506307872</v>
      </c>
      <c r="B23" s="3" t="s">
        <v>95</v>
      </c>
      <c r="C23" s="3">
        <v>23</v>
      </c>
      <c r="D23" s="3" t="s">
        <v>10</v>
      </c>
      <c r="E23" s="3" t="s">
        <v>96</v>
      </c>
      <c r="F23" s="3" t="s">
        <v>56</v>
      </c>
      <c r="G23" s="3" t="s">
        <v>15</v>
      </c>
      <c r="H23" s="3" t="s">
        <v>22</v>
      </c>
      <c r="I23" s="3" t="s">
        <v>15</v>
      </c>
      <c r="J23" s="3" t="s">
        <v>15</v>
      </c>
      <c r="K23" s="3" t="s">
        <v>14</v>
      </c>
      <c r="L23" s="3" t="s">
        <v>14</v>
      </c>
      <c r="M23" s="3" t="s">
        <v>13</v>
      </c>
      <c r="N23" s="3" t="s">
        <v>16</v>
      </c>
      <c r="O23" s="3" t="s">
        <v>14</v>
      </c>
      <c r="P23" s="3" t="s">
        <v>16</v>
      </c>
      <c r="Q23" s="3" t="s">
        <v>97</v>
      </c>
      <c r="R23" s="3" t="s">
        <v>98</v>
      </c>
      <c r="S23" s="3" t="s">
        <v>99</v>
      </c>
    </row>
    <row r="24" spans="1:19" ht="22.5" customHeight="1" x14ac:dyDescent="0.2">
      <c r="A24" s="2">
        <v>46122.708347662032</v>
      </c>
      <c r="B24" s="3" t="s">
        <v>100</v>
      </c>
      <c r="C24" s="3">
        <v>28</v>
      </c>
      <c r="D24" s="3" t="s">
        <v>21</v>
      </c>
      <c r="E24" s="3" t="s">
        <v>55</v>
      </c>
      <c r="F24" s="3" t="s">
        <v>56</v>
      </c>
      <c r="G24" s="3" t="s">
        <v>13</v>
      </c>
      <c r="H24" s="3" t="s">
        <v>22</v>
      </c>
      <c r="I24" s="3" t="s">
        <v>13</v>
      </c>
      <c r="J24" s="3" t="s">
        <v>16</v>
      </c>
      <c r="K24" s="3" t="s">
        <v>13</v>
      </c>
      <c r="L24" s="3" t="s">
        <v>16</v>
      </c>
      <c r="M24" s="3" t="s">
        <v>13</v>
      </c>
      <c r="N24" s="3" t="s">
        <v>16</v>
      </c>
      <c r="O24" s="3" t="s">
        <v>13</v>
      </c>
      <c r="P24" s="3" t="s">
        <v>16</v>
      </c>
      <c r="Q24" s="3" t="s">
        <v>101</v>
      </c>
      <c r="R24" s="3" t="s">
        <v>102</v>
      </c>
      <c r="S24" s="3" t="s">
        <v>103</v>
      </c>
    </row>
    <row r="25" spans="1:19" ht="22.5" customHeight="1" x14ac:dyDescent="0.2">
      <c r="A25" s="2">
        <v>46122.70842112269</v>
      </c>
      <c r="B25" s="3" t="s">
        <v>104</v>
      </c>
      <c r="C25" s="3">
        <v>25</v>
      </c>
      <c r="D25" s="3" t="s">
        <v>21</v>
      </c>
      <c r="E25" s="3" t="s">
        <v>55</v>
      </c>
      <c r="F25" s="3" t="s">
        <v>56</v>
      </c>
      <c r="G25" s="3" t="s">
        <v>13</v>
      </c>
      <c r="H25" s="3" t="s">
        <v>22</v>
      </c>
      <c r="I25" s="3" t="s">
        <v>22</v>
      </c>
      <c r="J25" s="3" t="s">
        <v>22</v>
      </c>
      <c r="K25" s="3" t="s">
        <v>13</v>
      </c>
      <c r="L25" s="3" t="s">
        <v>22</v>
      </c>
      <c r="M25" s="3" t="s">
        <v>15</v>
      </c>
      <c r="N25" s="3" t="s">
        <v>16</v>
      </c>
      <c r="O25" s="3" t="s">
        <v>13</v>
      </c>
      <c r="P25" s="3" t="s">
        <v>16</v>
      </c>
      <c r="Q25" s="3" t="s">
        <v>105</v>
      </c>
      <c r="R25" s="3" t="s">
        <v>106</v>
      </c>
      <c r="S25" s="3" t="s">
        <v>107</v>
      </c>
    </row>
    <row r="26" spans="1:19" ht="22.5" customHeight="1" x14ac:dyDescent="0.2">
      <c r="A26" s="2">
        <v>46125.40491892361</v>
      </c>
      <c r="B26" s="3" t="s">
        <v>108</v>
      </c>
      <c r="C26" s="3">
        <v>19</v>
      </c>
      <c r="D26" s="3" t="s">
        <v>21</v>
      </c>
      <c r="E26" s="3" t="s">
        <v>55</v>
      </c>
      <c r="F26" s="3" t="s">
        <v>56</v>
      </c>
      <c r="G26" s="3" t="s">
        <v>13</v>
      </c>
      <c r="H26" s="3" t="s">
        <v>14</v>
      </c>
      <c r="I26" s="3" t="s">
        <v>14</v>
      </c>
      <c r="J26" s="3" t="s">
        <v>13</v>
      </c>
      <c r="K26" s="3" t="s">
        <v>13</v>
      </c>
      <c r="L26" s="3" t="s">
        <v>16</v>
      </c>
      <c r="M26" s="3" t="s">
        <v>13</v>
      </c>
      <c r="N26" s="3" t="s">
        <v>16</v>
      </c>
      <c r="O26" s="3" t="s">
        <v>14</v>
      </c>
      <c r="P26" s="3" t="s">
        <v>22</v>
      </c>
      <c r="Q26" s="3" t="s">
        <v>109</v>
      </c>
      <c r="R26" s="3" t="s">
        <v>110</v>
      </c>
      <c r="S26" s="3"/>
    </row>
    <row r="27" spans="1:19" ht="22.5" customHeight="1" x14ac:dyDescent="0.2">
      <c r="A27" s="2">
        <v>46125.405235011574</v>
      </c>
      <c r="B27" s="3" t="s">
        <v>111</v>
      </c>
      <c r="C27" s="3">
        <v>20</v>
      </c>
      <c r="D27" s="3" t="s">
        <v>21</v>
      </c>
      <c r="E27" s="3" t="s">
        <v>55</v>
      </c>
      <c r="F27" s="3" t="s">
        <v>56</v>
      </c>
      <c r="G27" s="3" t="s">
        <v>13</v>
      </c>
      <c r="H27" s="3" t="s">
        <v>16</v>
      </c>
      <c r="I27" s="3" t="s">
        <v>13</v>
      </c>
      <c r="J27" s="3" t="s">
        <v>14</v>
      </c>
      <c r="K27" s="3" t="s">
        <v>13</v>
      </c>
      <c r="L27" s="3" t="s">
        <v>16</v>
      </c>
      <c r="M27" s="3" t="s">
        <v>14</v>
      </c>
      <c r="N27" s="3" t="s">
        <v>16</v>
      </c>
      <c r="O27" s="3" t="s">
        <v>13</v>
      </c>
      <c r="P27" s="3" t="s">
        <v>14</v>
      </c>
      <c r="Q27" s="3" t="s">
        <v>112</v>
      </c>
      <c r="R27" s="3" t="s">
        <v>113</v>
      </c>
      <c r="S27" s="3" t="s">
        <v>114</v>
      </c>
    </row>
    <row r="28" spans="1:19" ht="22.5" customHeight="1" x14ac:dyDescent="0.2">
      <c r="A28" s="2">
        <v>46125.405716435183</v>
      </c>
      <c r="B28" s="3" t="s">
        <v>115</v>
      </c>
      <c r="C28" s="3">
        <v>23</v>
      </c>
      <c r="D28" s="3" t="s">
        <v>21</v>
      </c>
      <c r="E28" s="3" t="s">
        <v>55</v>
      </c>
      <c r="F28" s="3" t="s">
        <v>56</v>
      </c>
      <c r="G28" s="3" t="s">
        <v>15</v>
      </c>
      <c r="H28" s="3" t="s">
        <v>22</v>
      </c>
      <c r="I28" s="3" t="s">
        <v>14</v>
      </c>
      <c r="J28" s="3" t="s">
        <v>22</v>
      </c>
      <c r="K28" s="3" t="s">
        <v>13</v>
      </c>
      <c r="L28" s="3" t="s">
        <v>22</v>
      </c>
      <c r="M28" s="3" t="s">
        <v>13</v>
      </c>
      <c r="N28" s="3" t="s">
        <v>22</v>
      </c>
      <c r="O28" s="3" t="s">
        <v>13</v>
      </c>
      <c r="P28" s="3" t="s">
        <v>14</v>
      </c>
      <c r="Q28" s="3" t="s">
        <v>116</v>
      </c>
      <c r="R28" s="3" t="s">
        <v>117</v>
      </c>
      <c r="S28" s="3"/>
    </row>
    <row r="29" spans="1:19" ht="22.5" customHeight="1" x14ac:dyDescent="0.2">
      <c r="A29" s="2">
        <v>46125.406938287037</v>
      </c>
      <c r="B29" s="3" t="s">
        <v>118</v>
      </c>
      <c r="C29" s="3">
        <v>21</v>
      </c>
      <c r="D29" s="3" t="s">
        <v>10</v>
      </c>
      <c r="E29" s="3" t="s">
        <v>55</v>
      </c>
      <c r="F29" s="3" t="s">
        <v>56</v>
      </c>
      <c r="G29" s="3" t="s">
        <v>16</v>
      </c>
      <c r="H29" s="3" t="s">
        <v>13</v>
      </c>
      <c r="I29" s="3" t="s">
        <v>22</v>
      </c>
      <c r="J29" s="3" t="s">
        <v>22</v>
      </c>
      <c r="K29" s="3" t="s">
        <v>22</v>
      </c>
      <c r="L29" s="3" t="s">
        <v>13</v>
      </c>
      <c r="M29" s="3" t="s">
        <v>16</v>
      </c>
      <c r="N29" s="3" t="s">
        <v>13</v>
      </c>
      <c r="O29" s="3" t="s">
        <v>22</v>
      </c>
      <c r="P29" s="3" t="s">
        <v>22</v>
      </c>
      <c r="Q29" s="3" t="s">
        <v>119</v>
      </c>
      <c r="R29" s="3" t="s">
        <v>120</v>
      </c>
      <c r="S29" s="3" t="s">
        <v>121</v>
      </c>
    </row>
    <row r="30" spans="1:19" ht="22.5" customHeight="1" x14ac:dyDescent="0.2">
      <c r="A30" s="2">
        <v>46125.406971354168</v>
      </c>
      <c r="B30" s="3" t="s">
        <v>122</v>
      </c>
      <c r="C30" s="3">
        <v>20</v>
      </c>
      <c r="D30" s="3" t="s">
        <v>21</v>
      </c>
      <c r="E30" s="3" t="s">
        <v>55</v>
      </c>
      <c r="F30" s="3" t="s">
        <v>56</v>
      </c>
      <c r="G30" s="3" t="s">
        <v>13</v>
      </c>
      <c r="H30" s="3" t="s">
        <v>22</v>
      </c>
      <c r="I30" s="3" t="s">
        <v>15</v>
      </c>
      <c r="J30" s="3" t="s">
        <v>22</v>
      </c>
      <c r="K30" s="3" t="s">
        <v>13</v>
      </c>
      <c r="L30" s="3" t="s">
        <v>16</v>
      </c>
      <c r="M30" s="3" t="s">
        <v>15</v>
      </c>
      <c r="N30" s="3" t="s">
        <v>22</v>
      </c>
      <c r="O30" s="3" t="s">
        <v>15</v>
      </c>
      <c r="P30" s="3" t="s">
        <v>14</v>
      </c>
      <c r="Q30" s="3" t="s">
        <v>123</v>
      </c>
      <c r="R30" s="3" t="s">
        <v>124</v>
      </c>
      <c r="S30" s="3" t="s">
        <v>125</v>
      </c>
    </row>
    <row r="31" spans="1:19" ht="22.5" customHeight="1" x14ac:dyDescent="0.2">
      <c r="A31" s="2">
        <v>46125.407009629635</v>
      </c>
      <c r="B31" s="3" t="s">
        <v>126</v>
      </c>
      <c r="C31" s="3">
        <v>19</v>
      </c>
      <c r="D31" s="3" t="s">
        <v>21</v>
      </c>
      <c r="E31" s="3" t="s">
        <v>55</v>
      </c>
      <c r="F31" s="3" t="s">
        <v>56</v>
      </c>
      <c r="G31" s="3" t="s">
        <v>13</v>
      </c>
      <c r="H31" s="3" t="s">
        <v>22</v>
      </c>
      <c r="I31" s="3" t="s">
        <v>22</v>
      </c>
      <c r="J31" s="3" t="s">
        <v>22</v>
      </c>
      <c r="K31" s="3" t="s">
        <v>13</v>
      </c>
      <c r="L31" s="3" t="s">
        <v>22</v>
      </c>
      <c r="M31" s="3" t="s">
        <v>13</v>
      </c>
      <c r="N31" s="3" t="s">
        <v>22</v>
      </c>
      <c r="O31" s="3" t="s">
        <v>13</v>
      </c>
      <c r="P31" s="3" t="s">
        <v>14</v>
      </c>
      <c r="Q31" s="3" t="s">
        <v>127</v>
      </c>
      <c r="R31" s="3" t="s">
        <v>128</v>
      </c>
      <c r="S31" s="3" t="s">
        <v>129</v>
      </c>
    </row>
    <row r="32" spans="1:19" ht="22.5" customHeight="1" x14ac:dyDescent="0.2">
      <c r="A32" s="2">
        <v>46125.407198715278</v>
      </c>
      <c r="B32" s="3" t="s">
        <v>130</v>
      </c>
      <c r="C32" s="3">
        <v>22</v>
      </c>
      <c r="D32" s="3" t="s">
        <v>21</v>
      </c>
      <c r="E32" s="3" t="s">
        <v>55</v>
      </c>
      <c r="F32" s="3" t="s">
        <v>56</v>
      </c>
      <c r="G32" s="3" t="s">
        <v>15</v>
      </c>
      <c r="H32" s="3" t="s">
        <v>15</v>
      </c>
      <c r="I32" s="3" t="s">
        <v>14</v>
      </c>
      <c r="J32" s="3" t="s">
        <v>13</v>
      </c>
      <c r="K32" s="3" t="s">
        <v>15</v>
      </c>
      <c r="L32" s="3" t="s">
        <v>14</v>
      </c>
      <c r="M32" s="3" t="s">
        <v>13</v>
      </c>
      <c r="N32" s="3" t="s">
        <v>14</v>
      </c>
      <c r="O32" s="3" t="s">
        <v>14</v>
      </c>
      <c r="P32" s="3" t="s">
        <v>14</v>
      </c>
      <c r="Q32" s="3" t="s">
        <v>131</v>
      </c>
      <c r="R32" s="3" t="s">
        <v>132</v>
      </c>
      <c r="S32" s="3" t="s">
        <v>133</v>
      </c>
    </row>
    <row r="33" spans="1:19" ht="22.5" customHeight="1" x14ac:dyDescent="0.2">
      <c r="A33" s="2">
        <v>46125.407317881945</v>
      </c>
      <c r="B33" s="3" t="s">
        <v>134</v>
      </c>
      <c r="C33" s="3">
        <v>21</v>
      </c>
      <c r="D33" s="3" t="s">
        <v>10</v>
      </c>
      <c r="E33" s="3" t="s">
        <v>55</v>
      </c>
      <c r="F33" s="3" t="s">
        <v>56</v>
      </c>
      <c r="G33" s="3" t="s">
        <v>16</v>
      </c>
      <c r="H33" s="3" t="s">
        <v>16</v>
      </c>
      <c r="I33" s="3" t="s">
        <v>16</v>
      </c>
      <c r="J33" s="3" t="s">
        <v>16</v>
      </c>
      <c r="K33" s="3" t="s">
        <v>16</v>
      </c>
      <c r="L33" s="3" t="s">
        <v>16</v>
      </c>
      <c r="M33" s="3" t="s">
        <v>16</v>
      </c>
      <c r="N33" s="3" t="s">
        <v>16</v>
      </c>
      <c r="O33" s="3" t="s">
        <v>16</v>
      </c>
      <c r="P33" s="3" t="s">
        <v>16</v>
      </c>
      <c r="Q33" s="3" t="s">
        <v>135</v>
      </c>
      <c r="R33" s="3" t="s">
        <v>136</v>
      </c>
      <c r="S33" s="3" t="s">
        <v>137</v>
      </c>
    </row>
    <row r="34" spans="1:19" ht="22.5" customHeight="1" x14ac:dyDescent="0.2">
      <c r="A34" s="2">
        <v>46125.407518472217</v>
      </c>
      <c r="B34" s="3" t="s">
        <v>138</v>
      </c>
      <c r="C34" s="3">
        <v>21</v>
      </c>
      <c r="D34" s="3" t="s">
        <v>21</v>
      </c>
      <c r="E34" s="3" t="s">
        <v>55</v>
      </c>
      <c r="F34" s="3" t="s">
        <v>56</v>
      </c>
      <c r="G34" s="3" t="s">
        <v>13</v>
      </c>
      <c r="H34" s="3" t="s">
        <v>22</v>
      </c>
      <c r="I34" s="3" t="s">
        <v>16</v>
      </c>
      <c r="J34" s="3" t="s">
        <v>16</v>
      </c>
      <c r="K34" s="3" t="s">
        <v>13</v>
      </c>
      <c r="L34" s="3" t="s">
        <v>16</v>
      </c>
      <c r="M34" s="3" t="s">
        <v>13</v>
      </c>
      <c r="N34" s="3" t="s">
        <v>16</v>
      </c>
      <c r="O34" s="3" t="s">
        <v>13</v>
      </c>
      <c r="P34" s="3" t="s">
        <v>16</v>
      </c>
      <c r="Q34" s="3" t="s">
        <v>139</v>
      </c>
      <c r="R34" s="3" t="s">
        <v>140</v>
      </c>
      <c r="S34" s="3" t="s">
        <v>141</v>
      </c>
    </row>
    <row r="35" spans="1:19" ht="22.5" customHeight="1" x14ac:dyDescent="0.2">
      <c r="A35" s="2">
        <v>46125.407539097221</v>
      </c>
      <c r="B35" s="3" t="s">
        <v>142</v>
      </c>
      <c r="C35" s="3">
        <v>21</v>
      </c>
      <c r="D35" s="3" t="s">
        <v>21</v>
      </c>
      <c r="E35" s="3" t="s">
        <v>55</v>
      </c>
      <c r="F35" s="3" t="s">
        <v>56</v>
      </c>
      <c r="G35" s="3" t="s">
        <v>16</v>
      </c>
      <c r="H35" s="3" t="s">
        <v>16</v>
      </c>
      <c r="I35" s="3" t="s">
        <v>22</v>
      </c>
      <c r="J35" s="3" t="s">
        <v>16</v>
      </c>
      <c r="K35" s="3" t="s">
        <v>16</v>
      </c>
      <c r="L35" s="3" t="s">
        <v>16</v>
      </c>
      <c r="M35" s="3" t="s">
        <v>16</v>
      </c>
      <c r="N35" s="3" t="s">
        <v>22</v>
      </c>
      <c r="O35" s="3" t="s">
        <v>16</v>
      </c>
      <c r="P35" s="3" t="s">
        <v>22</v>
      </c>
      <c r="Q35" s="3" t="s">
        <v>143</v>
      </c>
      <c r="R35" s="3" t="s">
        <v>144</v>
      </c>
      <c r="S35" s="3" t="s">
        <v>145</v>
      </c>
    </row>
    <row r="36" spans="1:19" ht="22.5" customHeight="1" x14ac:dyDescent="0.2">
      <c r="A36" s="2">
        <v>46125.407928287037</v>
      </c>
      <c r="B36" s="3" t="s">
        <v>146</v>
      </c>
      <c r="C36" s="3">
        <v>25</v>
      </c>
      <c r="D36" s="3" t="s">
        <v>10</v>
      </c>
      <c r="E36" s="3" t="s">
        <v>55</v>
      </c>
      <c r="F36" s="3" t="s">
        <v>56</v>
      </c>
      <c r="G36" s="3" t="s">
        <v>15</v>
      </c>
      <c r="H36" s="3" t="s">
        <v>14</v>
      </c>
      <c r="I36" s="3" t="s">
        <v>14</v>
      </c>
      <c r="J36" s="3" t="s">
        <v>15</v>
      </c>
      <c r="K36" s="3" t="s">
        <v>14</v>
      </c>
      <c r="L36" s="3" t="s">
        <v>22</v>
      </c>
      <c r="M36" s="3" t="s">
        <v>13</v>
      </c>
      <c r="N36" s="3" t="s">
        <v>22</v>
      </c>
      <c r="O36" s="3" t="s">
        <v>15</v>
      </c>
      <c r="P36" s="3" t="s">
        <v>15</v>
      </c>
      <c r="Q36" s="3" t="s">
        <v>147</v>
      </c>
      <c r="R36" s="3" t="s">
        <v>148</v>
      </c>
      <c r="S36" s="3" t="s">
        <v>149</v>
      </c>
    </row>
    <row r="37" spans="1:19" ht="22.5" customHeight="1" x14ac:dyDescent="0.2">
      <c r="A37" s="2">
        <v>46125.408008090279</v>
      </c>
      <c r="B37" s="3" t="s">
        <v>150</v>
      </c>
      <c r="C37" s="3">
        <v>25</v>
      </c>
      <c r="D37" s="3" t="s">
        <v>10</v>
      </c>
      <c r="E37" s="3" t="s">
        <v>85</v>
      </c>
      <c r="F37" s="3" t="s">
        <v>56</v>
      </c>
      <c r="G37" s="3" t="s">
        <v>13</v>
      </c>
      <c r="H37" s="3" t="s">
        <v>22</v>
      </c>
      <c r="I37" s="3" t="s">
        <v>13</v>
      </c>
      <c r="J37" s="3" t="s">
        <v>16</v>
      </c>
      <c r="K37" s="3" t="s">
        <v>13</v>
      </c>
      <c r="L37" s="3" t="s">
        <v>22</v>
      </c>
      <c r="M37" s="3" t="s">
        <v>14</v>
      </c>
      <c r="N37" s="3" t="s">
        <v>14</v>
      </c>
      <c r="O37" s="3" t="s">
        <v>22</v>
      </c>
      <c r="P37" s="3" t="s">
        <v>14</v>
      </c>
      <c r="Q37" s="3" t="s">
        <v>151</v>
      </c>
      <c r="R37" s="3" t="s">
        <v>152</v>
      </c>
      <c r="S37" s="3" t="s">
        <v>153</v>
      </c>
    </row>
    <row r="38" spans="1:19" ht="22.5" customHeight="1" x14ac:dyDescent="0.2">
      <c r="A38" s="2">
        <v>46125.408134976853</v>
      </c>
      <c r="B38" s="3" t="s">
        <v>154</v>
      </c>
      <c r="C38" s="3">
        <v>21</v>
      </c>
      <c r="D38" s="3" t="s">
        <v>10</v>
      </c>
      <c r="E38" s="3" t="s">
        <v>55</v>
      </c>
      <c r="F38" s="3" t="s">
        <v>56</v>
      </c>
      <c r="G38" s="3" t="s">
        <v>16</v>
      </c>
      <c r="H38" s="3" t="s">
        <v>16</v>
      </c>
      <c r="I38" s="3" t="s">
        <v>22</v>
      </c>
      <c r="J38" s="3" t="s">
        <v>22</v>
      </c>
      <c r="K38" s="3" t="s">
        <v>16</v>
      </c>
      <c r="L38" s="3" t="s">
        <v>22</v>
      </c>
      <c r="M38" s="3" t="s">
        <v>22</v>
      </c>
      <c r="N38" s="3" t="s">
        <v>16</v>
      </c>
      <c r="O38" s="3" t="s">
        <v>22</v>
      </c>
      <c r="P38" s="3" t="s">
        <v>16</v>
      </c>
      <c r="Q38" s="3" t="s">
        <v>155</v>
      </c>
      <c r="R38" s="3" t="s">
        <v>156</v>
      </c>
      <c r="S38" s="3" t="s">
        <v>157</v>
      </c>
    </row>
    <row r="39" spans="1:19" ht="22.5" customHeight="1" x14ac:dyDescent="0.2">
      <c r="A39" s="2">
        <v>46125.408516388889</v>
      </c>
      <c r="B39" s="3" t="s">
        <v>158</v>
      </c>
      <c r="C39" s="3">
        <v>21</v>
      </c>
      <c r="D39" s="3" t="s">
        <v>21</v>
      </c>
      <c r="E39" s="3" t="s">
        <v>55</v>
      </c>
      <c r="F39" s="3" t="s">
        <v>56</v>
      </c>
      <c r="G39" s="3" t="s">
        <v>15</v>
      </c>
      <c r="H39" s="3" t="s">
        <v>22</v>
      </c>
      <c r="I39" s="3" t="s">
        <v>22</v>
      </c>
      <c r="J39" s="3" t="s">
        <v>22</v>
      </c>
      <c r="K39" s="3" t="s">
        <v>15</v>
      </c>
      <c r="L39" s="3" t="s">
        <v>22</v>
      </c>
      <c r="M39" s="3" t="s">
        <v>15</v>
      </c>
      <c r="N39" s="3" t="s">
        <v>22</v>
      </c>
      <c r="O39" s="3" t="s">
        <v>14</v>
      </c>
      <c r="P39" s="3" t="s">
        <v>14</v>
      </c>
      <c r="Q39" s="3" t="s">
        <v>159</v>
      </c>
      <c r="R39" s="3" t="s">
        <v>160</v>
      </c>
      <c r="S39" s="3" t="s">
        <v>161</v>
      </c>
    </row>
    <row r="40" spans="1:19" ht="22.5" customHeight="1" x14ac:dyDescent="0.2">
      <c r="A40" s="2">
        <v>46125.408636840279</v>
      </c>
      <c r="B40" s="3" t="s">
        <v>162</v>
      </c>
      <c r="C40" s="3">
        <v>21</v>
      </c>
      <c r="D40" s="3" t="s">
        <v>10</v>
      </c>
      <c r="E40" s="3" t="s">
        <v>85</v>
      </c>
      <c r="F40" s="3" t="s">
        <v>56</v>
      </c>
      <c r="G40" s="3" t="s">
        <v>16</v>
      </c>
      <c r="H40" s="3" t="s">
        <v>22</v>
      </c>
      <c r="I40" s="3" t="s">
        <v>16</v>
      </c>
      <c r="J40" s="3" t="s">
        <v>22</v>
      </c>
      <c r="K40" s="3" t="s">
        <v>16</v>
      </c>
      <c r="L40" s="3" t="s">
        <v>22</v>
      </c>
      <c r="M40" s="3" t="s">
        <v>16</v>
      </c>
      <c r="N40" s="3" t="s">
        <v>22</v>
      </c>
      <c r="O40" s="3" t="s">
        <v>16</v>
      </c>
      <c r="P40" s="3" t="s">
        <v>22</v>
      </c>
      <c r="Q40" s="3" t="s">
        <v>163</v>
      </c>
      <c r="R40" s="3" t="s">
        <v>164</v>
      </c>
      <c r="S40" s="3" t="s">
        <v>165</v>
      </c>
    </row>
    <row r="41" spans="1:19" ht="22.5" customHeight="1" x14ac:dyDescent="0.2">
      <c r="A41" s="2">
        <v>46125.409171527775</v>
      </c>
      <c r="B41" s="3" t="s">
        <v>166</v>
      </c>
      <c r="C41" s="3">
        <v>23</v>
      </c>
      <c r="D41" s="3" t="s">
        <v>21</v>
      </c>
      <c r="E41" s="3" t="s">
        <v>55</v>
      </c>
      <c r="F41" s="3" t="s">
        <v>56</v>
      </c>
      <c r="G41" s="3" t="s">
        <v>14</v>
      </c>
      <c r="H41" s="3" t="s">
        <v>22</v>
      </c>
      <c r="I41" s="3" t="s">
        <v>14</v>
      </c>
      <c r="J41" s="3" t="s">
        <v>22</v>
      </c>
      <c r="K41" s="3" t="s">
        <v>15</v>
      </c>
      <c r="L41" s="3" t="s">
        <v>14</v>
      </c>
      <c r="M41" s="3" t="s">
        <v>13</v>
      </c>
      <c r="N41" s="3" t="s">
        <v>14</v>
      </c>
      <c r="O41" s="3" t="s">
        <v>22</v>
      </c>
      <c r="P41" s="3" t="s">
        <v>14</v>
      </c>
      <c r="Q41" s="3" t="s">
        <v>167</v>
      </c>
      <c r="R41" s="3" t="s">
        <v>168</v>
      </c>
      <c r="S41" s="3" t="s">
        <v>169</v>
      </c>
    </row>
    <row r="42" spans="1:19" ht="22.5" customHeight="1" x14ac:dyDescent="0.2">
      <c r="A42" s="2">
        <v>46125.428013067125</v>
      </c>
      <c r="B42" s="3" t="s">
        <v>170</v>
      </c>
      <c r="C42" s="3">
        <v>21</v>
      </c>
      <c r="D42" s="3" t="s">
        <v>10</v>
      </c>
      <c r="E42" s="3" t="s">
        <v>55</v>
      </c>
      <c r="F42" s="3" t="s">
        <v>56</v>
      </c>
      <c r="G42" s="3" t="s">
        <v>22</v>
      </c>
      <c r="H42" s="3" t="s">
        <v>22</v>
      </c>
      <c r="I42" s="3" t="s">
        <v>14</v>
      </c>
      <c r="J42" s="3" t="s">
        <v>14</v>
      </c>
      <c r="K42" s="3" t="s">
        <v>14</v>
      </c>
      <c r="L42" s="3" t="s">
        <v>15</v>
      </c>
      <c r="M42" s="3" t="s">
        <v>15</v>
      </c>
      <c r="N42" s="3" t="s">
        <v>15</v>
      </c>
      <c r="O42" s="3" t="s">
        <v>14</v>
      </c>
      <c r="P42" s="3" t="s">
        <v>15</v>
      </c>
      <c r="Q42" s="3" t="s">
        <v>171</v>
      </c>
      <c r="R42" s="3" t="s">
        <v>172</v>
      </c>
      <c r="S42" s="3" t="s">
        <v>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6D6D1-CAA5-48FF-A236-65349207841E}">
  <dimension ref="A1:C9"/>
  <sheetViews>
    <sheetView zoomScale="170" zoomScaleNormal="170" workbookViewId="0">
      <selection sqref="A1:C7"/>
    </sheetView>
  </sheetViews>
  <sheetFormatPr baseColWidth="10" defaultRowHeight="12.75" x14ac:dyDescent="0.2"/>
  <cols>
    <col min="1" max="1" width="25.140625" style="12" customWidth="1"/>
    <col min="2" max="2" width="20.140625" bestFit="1" customWidth="1"/>
    <col min="3" max="3" width="19.5703125" style="8" customWidth="1"/>
  </cols>
  <sheetData>
    <row r="1" spans="1:3" ht="25.5" x14ac:dyDescent="0.2">
      <c r="A1" s="9" t="s">
        <v>186</v>
      </c>
      <c r="B1" s="6" t="s">
        <v>184</v>
      </c>
      <c r="C1" s="7" t="s">
        <v>185</v>
      </c>
    </row>
    <row r="2" spans="1:3" x14ac:dyDescent="0.2">
      <c r="A2" s="10" t="s">
        <v>13</v>
      </c>
      <c r="B2">
        <f>COUNTIFS(Respuestas!$G$2:$G$42,"="&amp;A2)</f>
        <v>17</v>
      </c>
      <c r="C2" s="8">
        <f>B2/$B$7</f>
        <v>0.41463414634146339</v>
      </c>
    </row>
    <row r="3" spans="1:3" x14ac:dyDescent="0.2">
      <c r="A3" s="11" t="s">
        <v>15</v>
      </c>
      <c r="B3">
        <f>COUNTIFS(Respuestas!$G$2:$G$42,"="&amp;A3)</f>
        <v>12</v>
      </c>
      <c r="C3" s="8">
        <f t="shared" ref="C3:C6" si="0">B3/$B$7</f>
        <v>0.29268292682926828</v>
      </c>
    </row>
    <row r="4" spans="1:3" x14ac:dyDescent="0.2">
      <c r="A4" s="10" t="s">
        <v>14</v>
      </c>
      <c r="B4">
        <f>COUNTIFS(Respuestas!$G$2:$G$42,"="&amp;A4)</f>
        <v>3</v>
      </c>
      <c r="C4" s="8">
        <f t="shared" si="0"/>
        <v>7.3170731707317069E-2</v>
      </c>
    </row>
    <row r="5" spans="1:3" x14ac:dyDescent="0.2">
      <c r="A5" s="11" t="s">
        <v>16</v>
      </c>
      <c r="B5">
        <f>COUNTIFS(Respuestas!$G$2:$G$42,"="&amp;A5)</f>
        <v>8</v>
      </c>
      <c r="C5" s="8">
        <f t="shared" si="0"/>
        <v>0.1951219512195122</v>
      </c>
    </row>
    <row r="6" spans="1:3" x14ac:dyDescent="0.2">
      <c r="A6" s="10" t="s">
        <v>22</v>
      </c>
      <c r="B6">
        <f>COUNTIFS(Respuestas!$G$2:$G$42,"="&amp;A6)</f>
        <v>1</v>
      </c>
      <c r="C6" s="8">
        <f t="shared" si="0"/>
        <v>2.4390243902439025E-2</v>
      </c>
    </row>
    <row r="7" spans="1:3" x14ac:dyDescent="0.2">
      <c r="A7" s="12" t="s">
        <v>188</v>
      </c>
      <c r="B7">
        <f>SUM(B2:B6)</f>
        <v>41</v>
      </c>
      <c r="C7" s="8">
        <f>SUM(C2:C6)</f>
        <v>1</v>
      </c>
    </row>
    <row r="9" spans="1:3" x14ac:dyDescent="0.2">
      <c r="B9" s="6" t="s">
        <v>187</v>
      </c>
      <c r="C9" s="8">
        <f>C2+C3</f>
        <v>0.70731707317073167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73F6-0DD5-4819-B462-1F89A1EECE40}">
  <dimension ref="A1:C9"/>
  <sheetViews>
    <sheetView zoomScale="160" zoomScaleNormal="160" workbookViewId="0">
      <selection activeCell="A2" activeCellId="1" sqref="C2:C6 A2:A6"/>
    </sheetView>
  </sheetViews>
  <sheetFormatPr baseColWidth="10" defaultRowHeight="12.75" x14ac:dyDescent="0.2"/>
  <cols>
    <col min="1" max="1" width="14" customWidth="1"/>
    <col min="2" max="2" width="19.140625" bestFit="1" customWidth="1"/>
  </cols>
  <sheetData>
    <row r="1" spans="1:3" ht="51" x14ac:dyDescent="0.2">
      <c r="A1" s="13" t="s">
        <v>189</v>
      </c>
      <c r="B1" s="6" t="s">
        <v>184</v>
      </c>
      <c r="C1" s="7" t="s">
        <v>185</v>
      </c>
    </row>
    <row r="2" spans="1:3" ht="25.5" x14ac:dyDescent="0.2">
      <c r="A2" s="10" t="s">
        <v>13</v>
      </c>
      <c r="B2">
        <f>COUNTIFS(Respuestas!$H$2:$H$42,"="&amp;A2)</f>
        <v>1</v>
      </c>
      <c r="C2" s="8">
        <f>B2/$B$7</f>
        <v>2.4390243902439025E-2</v>
      </c>
    </row>
    <row r="3" spans="1:3" x14ac:dyDescent="0.2">
      <c r="A3" s="11" t="s">
        <v>15</v>
      </c>
      <c r="B3">
        <f>COUNTIFS(Respuestas!$H$2:$H$42,"="&amp;A3)</f>
        <v>1</v>
      </c>
      <c r="C3" s="8">
        <f t="shared" ref="C3:C6" si="0">B3/$B$7</f>
        <v>2.4390243902439025E-2</v>
      </c>
    </row>
    <row r="4" spans="1:3" x14ac:dyDescent="0.2">
      <c r="A4" s="10" t="s">
        <v>14</v>
      </c>
      <c r="B4">
        <f>COUNTIFS(Respuestas!$H$2:$H$42,"="&amp;A4)</f>
        <v>8</v>
      </c>
      <c r="C4" s="8">
        <f t="shared" si="0"/>
        <v>0.1951219512195122</v>
      </c>
    </row>
    <row r="5" spans="1:3" ht="25.5" x14ac:dyDescent="0.2">
      <c r="A5" s="11" t="s">
        <v>16</v>
      </c>
      <c r="B5">
        <f>COUNTIFS(Respuestas!$H$2:$H$42,"="&amp;A5)</f>
        <v>13</v>
      </c>
      <c r="C5" s="8">
        <f t="shared" si="0"/>
        <v>0.31707317073170732</v>
      </c>
    </row>
    <row r="6" spans="1:3" x14ac:dyDescent="0.2">
      <c r="A6" s="10" t="s">
        <v>22</v>
      </c>
      <c r="B6">
        <f>COUNTIFS(Respuestas!$H$2:$H$42,"="&amp;A6)</f>
        <v>18</v>
      </c>
      <c r="C6" s="8">
        <f t="shared" si="0"/>
        <v>0.43902439024390244</v>
      </c>
    </row>
    <row r="7" spans="1:3" x14ac:dyDescent="0.2">
      <c r="A7" s="12" t="s">
        <v>188</v>
      </c>
      <c r="B7">
        <f>SUM(B2:B6)</f>
        <v>41</v>
      </c>
      <c r="C7" s="8">
        <f>SUM(C2:C6)</f>
        <v>1</v>
      </c>
    </row>
    <row r="8" spans="1:3" x14ac:dyDescent="0.2">
      <c r="A8" s="12"/>
      <c r="C8" s="8"/>
    </row>
    <row r="9" spans="1:3" x14ac:dyDescent="0.2">
      <c r="A9" s="12"/>
      <c r="B9" s="6"/>
      <c r="C9"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DF4A5-AC8B-4AB6-A41A-7C24B58574CB}">
  <dimension ref="A1:C9"/>
  <sheetViews>
    <sheetView workbookViewId="0">
      <selection activeCell="A2" activeCellId="1" sqref="C2:C6 A2:A6"/>
    </sheetView>
  </sheetViews>
  <sheetFormatPr baseColWidth="10" defaultRowHeight="12.75" x14ac:dyDescent="0.2"/>
  <cols>
    <col min="1" max="1" width="25.140625" style="12" customWidth="1"/>
    <col min="2" max="2" width="20.140625" bestFit="1" customWidth="1"/>
    <col min="3" max="3" width="19.5703125" style="8" customWidth="1"/>
  </cols>
  <sheetData>
    <row r="1" spans="1:3" ht="25.5" x14ac:dyDescent="0.2">
      <c r="A1" s="9" t="s">
        <v>190</v>
      </c>
      <c r="B1" s="6" t="s">
        <v>184</v>
      </c>
      <c r="C1" s="7" t="s">
        <v>185</v>
      </c>
    </row>
    <row r="2" spans="1:3" x14ac:dyDescent="0.2">
      <c r="A2" s="10" t="s">
        <v>13</v>
      </c>
      <c r="B2">
        <f>COUNTIFS(Respuestas!$I$2:$I$42,"="&amp;A2)</f>
        <v>9</v>
      </c>
      <c r="C2" s="8">
        <f>B2/$B$7</f>
        <v>0.21951219512195122</v>
      </c>
    </row>
    <row r="3" spans="1:3" x14ac:dyDescent="0.2">
      <c r="A3" s="11" t="s">
        <v>15</v>
      </c>
      <c r="B3">
        <f>COUNTIFS(Respuestas!$I$2:$I$42,"="&amp;A3)</f>
        <v>6</v>
      </c>
      <c r="C3" s="8">
        <f t="shared" ref="C3:C6" si="0">B3/$B$7</f>
        <v>0.14634146341463414</v>
      </c>
    </row>
    <row r="4" spans="1:3" x14ac:dyDescent="0.2">
      <c r="A4" s="10" t="s">
        <v>14</v>
      </c>
      <c r="B4">
        <f>COUNTIFS(Respuestas!$I$2:$I$42,"="&amp;A4)</f>
        <v>10</v>
      </c>
      <c r="C4" s="8">
        <f t="shared" si="0"/>
        <v>0.24390243902439024</v>
      </c>
    </row>
    <row r="5" spans="1:3" x14ac:dyDescent="0.2">
      <c r="A5" s="11" t="s">
        <v>16</v>
      </c>
      <c r="B5">
        <f>COUNTIFS(Respuestas!$I$2:$I$42,"="&amp;A5)</f>
        <v>9</v>
      </c>
      <c r="C5" s="8">
        <f t="shared" si="0"/>
        <v>0.21951219512195122</v>
      </c>
    </row>
    <row r="6" spans="1:3" x14ac:dyDescent="0.2">
      <c r="A6" s="10" t="s">
        <v>22</v>
      </c>
      <c r="B6">
        <f>COUNTIFS(Respuestas!$I$2:$I$42,"="&amp;A6)</f>
        <v>7</v>
      </c>
      <c r="C6" s="8">
        <f t="shared" si="0"/>
        <v>0.17073170731707318</v>
      </c>
    </row>
    <row r="7" spans="1:3" x14ac:dyDescent="0.2">
      <c r="A7" s="12" t="s">
        <v>188</v>
      </c>
      <c r="B7">
        <f>SUM(B2:B6)</f>
        <v>41</v>
      </c>
      <c r="C7" s="8">
        <f>SUM(C2:C6)</f>
        <v>1</v>
      </c>
    </row>
    <row r="9" spans="1:3" x14ac:dyDescent="0.2">
      <c r="B9" s="6" t="s">
        <v>187</v>
      </c>
      <c r="C9" s="8">
        <f>C2+C3</f>
        <v>0.36585365853658536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DE12-1F7B-42CC-BC90-81400B1CAD7F}">
  <dimension ref="A1:C9"/>
  <sheetViews>
    <sheetView workbookViewId="0">
      <selection activeCell="A2" activeCellId="1" sqref="C2:C6 A2:A6"/>
    </sheetView>
  </sheetViews>
  <sheetFormatPr baseColWidth="10" defaultRowHeight="12.75" x14ac:dyDescent="0.2"/>
  <cols>
    <col min="1" max="1" width="14" customWidth="1"/>
    <col min="2" max="2" width="19.140625" bestFit="1" customWidth="1"/>
  </cols>
  <sheetData>
    <row r="1" spans="1:3" ht="51" x14ac:dyDescent="0.2">
      <c r="A1" s="13" t="s">
        <v>191</v>
      </c>
      <c r="B1" s="6" t="s">
        <v>184</v>
      </c>
      <c r="C1" s="7" t="s">
        <v>185</v>
      </c>
    </row>
    <row r="2" spans="1:3" ht="25.5" x14ac:dyDescent="0.2">
      <c r="A2" s="10" t="s">
        <v>13</v>
      </c>
      <c r="B2">
        <f>COUNTIFS(Respuestas!$J$2:$J$42,"="&amp;A2)</f>
        <v>2</v>
      </c>
      <c r="C2" s="8">
        <f>B2/$B$7</f>
        <v>4.878048780487805E-2</v>
      </c>
    </row>
    <row r="3" spans="1:3" x14ac:dyDescent="0.2">
      <c r="A3" s="11" t="s">
        <v>15</v>
      </c>
      <c r="B3">
        <f>COUNTIFS(Respuestas!$J$2:$J$42,"="&amp;A3)</f>
        <v>7</v>
      </c>
      <c r="C3" s="8">
        <f t="shared" ref="C3:C6" si="0">B3/$B$7</f>
        <v>0.17073170731707318</v>
      </c>
    </row>
    <row r="4" spans="1:3" x14ac:dyDescent="0.2">
      <c r="A4" s="10" t="s">
        <v>14</v>
      </c>
      <c r="B4">
        <f>COUNTIFS(Respuestas!$J$2:$J$42,"="&amp;A4)</f>
        <v>3</v>
      </c>
      <c r="C4" s="8">
        <f t="shared" si="0"/>
        <v>7.3170731707317069E-2</v>
      </c>
    </row>
    <row r="5" spans="1:3" ht="25.5" x14ac:dyDescent="0.2">
      <c r="A5" s="11" t="s">
        <v>16</v>
      </c>
      <c r="B5">
        <f>COUNTIFS(Respuestas!$J$2:$J$42,"="&amp;A5)</f>
        <v>15</v>
      </c>
      <c r="C5" s="8">
        <f t="shared" si="0"/>
        <v>0.36585365853658536</v>
      </c>
    </row>
    <row r="6" spans="1:3" x14ac:dyDescent="0.2">
      <c r="A6" s="10" t="s">
        <v>22</v>
      </c>
      <c r="B6">
        <f>COUNTIFS(Respuestas!$J$2:$J$42,"="&amp;A6)</f>
        <v>14</v>
      </c>
      <c r="C6" s="8">
        <f t="shared" si="0"/>
        <v>0.34146341463414637</v>
      </c>
    </row>
    <row r="7" spans="1:3" x14ac:dyDescent="0.2">
      <c r="A7" s="12" t="s">
        <v>188</v>
      </c>
      <c r="B7">
        <f>SUM(B2:B6)</f>
        <v>41</v>
      </c>
      <c r="C7" s="8">
        <f>SUM(C2:C6)</f>
        <v>1</v>
      </c>
    </row>
    <row r="8" spans="1:3" x14ac:dyDescent="0.2">
      <c r="A8" s="12"/>
      <c r="C8" s="8"/>
    </row>
    <row r="9" spans="1:3" x14ac:dyDescent="0.2">
      <c r="A9" s="12"/>
      <c r="B9" s="6"/>
      <c r="C9"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AC02-1421-48B7-882B-578673E5F5EB}">
  <dimension ref="A1:C9"/>
  <sheetViews>
    <sheetView workbookViewId="0">
      <selection activeCell="A2" activeCellId="1" sqref="C2:C6 A2:A6"/>
    </sheetView>
  </sheetViews>
  <sheetFormatPr baseColWidth="10" defaultRowHeight="12.75" x14ac:dyDescent="0.2"/>
  <cols>
    <col min="1" max="1" width="25.140625" style="12" customWidth="1"/>
    <col min="2" max="2" width="20.140625" bestFit="1" customWidth="1"/>
    <col min="3" max="3" width="19.5703125" style="8" customWidth="1"/>
  </cols>
  <sheetData>
    <row r="1" spans="1:3" ht="38.25" x14ac:dyDescent="0.2">
      <c r="A1" s="9" t="s">
        <v>192</v>
      </c>
      <c r="B1" s="6" t="s">
        <v>184</v>
      </c>
      <c r="C1" s="7" t="s">
        <v>185</v>
      </c>
    </row>
    <row r="2" spans="1:3" x14ac:dyDescent="0.2">
      <c r="A2" s="10" t="s">
        <v>13</v>
      </c>
      <c r="B2">
        <f>COUNTIFS(Respuestas!$K$2:$K$42,"="&amp;A2)</f>
        <v>20</v>
      </c>
      <c r="C2" s="8">
        <f>B2/$B$7</f>
        <v>0.48780487804878048</v>
      </c>
    </row>
    <row r="3" spans="1:3" x14ac:dyDescent="0.2">
      <c r="A3" s="11" t="s">
        <v>15</v>
      </c>
      <c r="B3">
        <f>COUNTIFS(Respuestas!$K$2:$K$42,"="&amp;A3)</f>
        <v>9</v>
      </c>
      <c r="C3" s="8">
        <f t="shared" ref="C3:C6" si="0">B3/$B$7</f>
        <v>0.21951219512195122</v>
      </c>
    </row>
    <row r="4" spans="1:3" x14ac:dyDescent="0.2">
      <c r="A4" s="10" t="s">
        <v>14</v>
      </c>
      <c r="B4">
        <f>COUNTIFS(Respuestas!$K$2:$K$42,"="&amp;A4)</f>
        <v>4</v>
      </c>
      <c r="C4" s="8">
        <f t="shared" si="0"/>
        <v>9.7560975609756101E-2</v>
      </c>
    </row>
    <row r="5" spans="1:3" x14ac:dyDescent="0.2">
      <c r="A5" s="11" t="s">
        <v>16</v>
      </c>
      <c r="B5">
        <f>COUNTIFS(Respuestas!$K$2:$K$42,"="&amp;A5)</f>
        <v>7</v>
      </c>
      <c r="C5" s="8">
        <f t="shared" si="0"/>
        <v>0.17073170731707318</v>
      </c>
    </row>
    <row r="6" spans="1:3" x14ac:dyDescent="0.2">
      <c r="A6" s="10" t="s">
        <v>22</v>
      </c>
      <c r="B6">
        <f>COUNTIFS(Respuestas!$K$2:$K$42,"="&amp;A6)</f>
        <v>1</v>
      </c>
      <c r="C6" s="8">
        <f t="shared" si="0"/>
        <v>2.4390243902439025E-2</v>
      </c>
    </row>
    <row r="7" spans="1:3" x14ac:dyDescent="0.2">
      <c r="A7" s="12" t="s">
        <v>188</v>
      </c>
      <c r="B7">
        <f>SUM(B2:B6)</f>
        <v>41</v>
      </c>
      <c r="C7" s="8">
        <f>SUM(C2:C6)</f>
        <v>1</v>
      </c>
    </row>
    <row r="9" spans="1:3" x14ac:dyDescent="0.2">
      <c r="B9" s="6" t="s">
        <v>187</v>
      </c>
      <c r="C9" s="8">
        <f>C2+C3</f>
        <v>0.70731707317073167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3C476-B01F-474D-B1C0-645FE1F21158}">
  <dimension ref="A1:C9"/>
  <sheetViews>
    <sheetView workbookViewId="0">
      <selection activeCell="A2" activeCellId="1" sqref="C2:C6 A2:A6"/>
    </sheetView>
  </sheetViews>
  <sheetFormatPr baseColWidth="10" defaultRowHeight="12.75" x14ac:dyDescent="0.2"/>
  <cols>
    <col min="1" max="1" width="21" customWidth="1"/>
    <col min="2" max="2" width="19.140625" bestFit="1" customWidth="1"/>
  </cols>
  <sheetData>
    <row r="1" spans="1:3" ht="51" x14ac:dyDescent="0.2">
      <c r="A1" s="13" t="s">
        <v>193</v>
      </c>
      <c r="B1" s="6" t="s">
        <v>184</v>
      </c>
      <c r="C1" s="7" t="s">
        <v>185</v>
      </c>
    </row>
    <row r="2" spans="1:3" x14ac:dyDescent="0.2">
      <c r="A2" s="10" t="s">
        <v>13</v>
      </c>
      <c r="B2">
        <f>COUNTIFS(Respuestas!$L$2:$L$42,"="&amp;A2)</f>
        <v>1</v>
      </c>
      <c r="C2" s="8">
        <f>B2/$B$7</f>
        <v>2.4390243902439025E-2</v>
      </c>
    </row>
    <row r="3" spans="1:3" x14ac:dyDescent="0.2">
      <c r="A3" s="11" t="s">
        <v>15</v>
      </c>
      <c r="B3">
        <f>COUNTIFS(Respuestas!$L$2:$L$42,"="&amp;A3)</f>
        <v>1</v>
      </c>
      <c r="C3" s="8">
        <f t="shared" ref="C3:C6" si="0">B3/$B$7</f>
        <v>2.4390243902439025E-2</v>
      </c>
    </row>
    <row r="4" spans="1:3" x14ac:dyDescent="0.2">
      <c r="A4" s="10" t="s">
        <v>14</v>
      </c>
      <c r="B4">
        <f>COUNTIFS(Respuestas!$L$2:$L$42,"="&amp;A4)</f>
        <v>6</v>
      </c>
      <c r="C4" s="8">
        <f t="shared" si="0"/>
        <v>0.14634146341463414</v>
      </c>
    </row>
    <row r="5" spans="1:3" ht="25.5" x14ac:dyDescent="0.2">
      <c r="A5" s="11" t="s">
        <v>16</v>
      </c>
      <c r="B5">
        <f>COUNTIFS(Respuestas!$L$2:$L$42,"="&amp;A5)</f>
        <v>17</v>
      </c>
      <c r="C5" s="8">
        <f t="shared" si="0"/>
        <v>0.41463414634146339</v>
      </c>
    </row>
    <row r="6" spans="1:3" x14ac:dyDescent="0.2">
      <c r="A6" s="10" t="s">
        <v>22</v>
      </c>
      <c r="B6">
        <f>COUNTIFS(Respuestas!$L$2:$L$42,"="&amp;A6)</f>
        <v>16</v>
      </c>
      <c r="C6" s="8">
        <f t="shared" si="0"/>
        <v>0.3902439024390244</v>
      </c>
    </row>
    <row r="7" spans="1:3" x14ac:dyDescent="0.2">
      <c r="A7" s="12" t="s">
        <v>188</v>
      </c>
      <c r="B7">
        <f>SUM(B2:B6)</f>
        <v>41</v>
      </c>
      <c r="C7" s="8">
        <f>SUM(C2:C6)</f>
        <v>1</v>
      </c>
    </row>
    <row r="8" spans="1:3" x14ac:dyDescent="0.2">
      <c r="A8" s="12"/>
      <c r="C8" s="8"/>
    </row>
    <row r="9" spans="1:3" x14ac:dyDescent="0.2">
      <c r="A9" s="12"/>
      <c r="B9" s="6"/>
      <c r="C9"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76A4-724B-411D-A42C-3B3D8C43E23F}">
  <dimension ref="A1:C9"/>
  <sheetViews>
    <sheetView workbookViewId="0">
      <selection activeCell="M11" sqref="M11"/>
    </sheetView>
  </sheetViews>
  <sheetFormatPr baseColWidth="10" defaultRowHeight="12.75" x14ac:dyDescent="0.2"/>
  <cols>
    <col min="1" max="1" width="24.85546875" style="12" bestFit="1" customWidth="1"/>
    <col min="2" max="2" width="20.140625" bestFit="1" customWidth="1"/>
    <col min="3" max="3" width="19.5703125" style="8" customWidth="1"/>
  </cols>
  <sheetData>
    <row r="1" spans="1:3" ht="51" x14ac:dyDescent="0.2">
      <c r="A1" s="9" t="s">
        <v>194</v>
      </c>
      <c r="B1" s="6" t="s">
        <v>184</v>
      </c>
      <c r="C1" s="7" t="s">
        <v>185</v>
      </c>
    </row>
    <row r="2" spans="1:3" x14ac:dyDescent="0.2">
      <c r="A2" s="10" t="s">
        <v>13</v>
      </c>
      <c r="B2">
        <f>COUNTIFS(Respuestas!$M$2:$M$42,"="&amp;A2)</f>
        <v>18</v>
      </c>
      <c r="C2" s="8">
        <f>B2/$B$7</f>
        <v>0.43902439024390244</v>
      </c>
    </row>
    <row r="3" spans="1:3" x14ac:dyDescent="0.2">
      <c r="A3" s="11" t="s">
        <v>15</v>
      </c>
      <c r="B3">
        <f>COUNTIFS(Respuestas!$M$2:$M$42,"="&amp;A3)</f>
        <v>11</v>
      </c>
      <c r="C3" s="8">
        <f t="shared" ref="C3:C6" si="0">B3/$B$7</f>
        <v>0.26829268292682928</v>
      </c>
    </row>
    <row r="4" spans="1:3" x14ac:dyDescent="0.2">
      <c r="A4" s="10" t="s">
        <v>14</v>
      </c>
      <c r="B4">
        <f>COUNTIFS(Respuestas!$M$2:$M$42,"="&amp;A4)</f>
        <v>4</v>
      </c>
      <c r="C4" s="8">
        <f t="shared" si="0"/>
        <v>9.7560975609756101E-2</v>
      </c>
    </row>
    <row r="5" spans="1:3" x14ac:dyDescent="0.2">
      <c r="A5" s="11" t="s">
        <v>16</v>
      </c>
      <c r="B5">
        <f>COUNTIFS(Respuestas!$M$2:$M$42,"="&amp;A5)</f>
        <v>7</v>
      </c>
      <c r="C5" s="8">
        <f t="shared" si="0"/>
        <v>0.17073170731707318</v>
      </c>
    </row>
    <row r="6" spans="1:3" x14ac:dyDescent="0.2">
      <c r="A6" s="10" t="s">
        <v>22</v>
      </c>
      <c r="B6">
        <f>COUNTIFS(Respuestas!$M$2:$M$42,"="&amp;A6)</f>
        <v>1</v>
      </c>
      <c r="C6" s="8">
        <f t="shared" si="0"/>
        <v>2.4390243902439025E-2</v>
      </c>
    </row>
    <row r="7" spans="1:3" x14ac:dyDescent="0.2">
      <c r="A7" s="12" t="s">
        <v>188</v>
      </c>
      <c r="B7">
        <f>SUM(B2:B6)</f>
        <v>41</v>
      </c>
      <c r="C7" s="8">
        <f>SUM(C2:C6)</f>
        <v>1</v>
      </c>
    </row>
    <row r="9" spans="1:3" x14ac:dyDescent="0.2">
      <c r="B9" s="6" t="s">
        <v>187</v>
      </c>
      <c r="C9" s="8">
        <f>C2+C3</f>
        <v>0.70731707317073167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FF1B-2AFB-41D3-B66D-D6CCB7D6B48F}">
  <dimension ref="A1:C9"/>
  <sheetViews>
    <sheetView workbookViewId="0">
      <selection activeCell="A2" activeCellId="1" sqref="C2:C6 A2:A6"/>
    </sheetView>
  </sheetViews>
  <sheetFormatPr baseColWidth="10" defaultRowHeight="12.75" x14ac:dyDescent="0.2"/>
  <cols>
    <col min="1" max="1" width="14" customWidth="1"/>
    <col min="2" max="2" width="19.140625" bestFit="1" customWidth="1"/>
  </cols>
  <sheetData>
    <row r="1" spans="1:3" ht="51" x14ac:dyDescent="0.2">
      <c r="A1" s="13" t="s">
        <v>195</v>
      </c>
      <c r="B1" s="6" t="s">
        <v>184</v>
      </c>
      <c r="C1" s="7" t="s">
        <v>185</v>
      </c>
    </row>
    <row r="2" spans="1:3" ht="25.5" x14ac:dyDescent="0.2">
      <c r="A2" s="10" t="s">
        <v>13</v>
      </c>
      <c r="B2">
        <f>COUNTIFS(Respuestas!$N$2:$N$42,"="&amp;A2)</f>
        <v>1</v>
      </c>
      <c r="C2" s="8">
        <f>B2/$B$7</f>
        <v>2.4390243902439025E-2</v>
      </c>
    </row>
    <row r="3" spans="1:3" x14ac:dyDescent="0.2">
      <c r="A3" s="11" t="s">
        <v>15</v>
      </c>
      <c r="B3">
        <f>COUNTIFS(Respuestas!$N$2:$N$42,"="&amp;A3)</f>
        <v>2</v>
      </c>
      <c r="C3" s="8">
        <f t="shared" ref="C3:C6" si="0">B3/$B$7</f>
        <v>4.878048780487805E-2</v>
      </c>
    </row>
    <row r="4" spans="1:3" x14ac:dyDescent="0.2">
      <c r="A4" s="10" t="s">
        <v>14</v>
      </c>
      <c r="B4">
        <f>COUNTIFS(Respuestas!$N$2:$N$42,"="&amp;A4)</f>
        <v>4</v>
      </c>
      <c r="C4" s="8">
        <f t="shared" si="0"/>
        <v>9.7560975609756101E-2</v>
      </c>
    </row>
    <row r="5" spans="1:3" ht="25.5" x14ac:dyDescent="0.2">
      <c r="A5" s="11" t="s">
        <v>16</v>
      </c>
      <c r="B5">
        <f>COUNTIFS(Respuestas!$N$2:$N$42,"="&amp;A5)</f>
        <v>23</v>
      </c>
      <c r="C5" s="8">
        <f t="shared" si="0"/>
        <v>0.56097560975609762</v>
      </c>
    </row>
    <row r="6" spans="1:3" x14ac:dyDescent="0.2">
      <c r="A6" s="10" t="s">
        <v>22</v>
      </c>
      <c r="B6">
        <f>COUNTIFS(Respuestas!$N$2:$N$42,"="&amp;A6)</f>
        <v>11</v>
      </c>
      <c r="C6" s="8">
        <f t="shared" si="0"/>
        <v>0.26829268292682928</v>
      </c>
    </row>
    <row r="7" spans="1:3" x14ac:dyDescent="0.2">
      <c r="A7" s="12" t="s">
        <v>188</v>
      </c>
      <c r="B7">
        <f>SUM(B2:B6)</f>
        <v>41</v>
      </c>
      <c r="C7" s="8">
        <f>SUM(C2:C6)</f>
        <v>1</v>
      </c>
    </row>
    <row r="8" spans="1:3" x14ac:dyDescent="0.2">
      <c r="A8" s="12"/>
      <c r="C8" s="8"/>
    </row>
    <row r="9" spans="1:3" x14ac:dyDescent="0.2">
      <c r="A9" s="12"/>
      <c r="B9" s="6"/>
      <c r="C9" s="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2D06-7CB8-4113-8684-2B330432666E}">
  <dimension ref="A1:C9"/>
  <sheetViews>
    <sheetView workbookViewId="0">
      <selection activeCell="A2" activeCellId="1" sqref="C2:C6 A2:A6"/>
    </sheetView>
  </sheetViews>
  <sheetFormatPr baseColWidth="10" defaultRowHeight="12.75" x14ac:dyDescent="0.2"/>
  <cols>
    <col min="1" max="1" width="25.140625" style="12" customWidth="1"/>
    <col min="2" max="2" width="20.140625" bestFit="1" customWidth="1"/>
    <col min="3" max="3" width="19.5703125" style="8" customWidth="1"/>
  </cols>
  <sheetData>
    <row r="1" spans="1:3" ht="25.5" x14ac:dyDescent="0.2">
      <c r="A1" s="9" t="s">
        <v>196</v>
      </c>
      <c r="B1" s="6" t="s">
        <v>184</v>
      </c>
      <c r="C1" s="7" t="s">
        <v>185</v>
      </c>
    </row>
    <row r="2" spans="1:3" x14ac:dyDescent="0.2">
      <c r="A2" s="10" t="s">
        <v>13</v>
      </c>
      <c r="B2">
        <f>COUNTIFS(Respuestas!$O$2:$O$42,"="&amp;A2)</f>
        <v>17</v>
      </c>
      <c r="C2" s="8">
        <f>B2/$B$7</f>
        <v>0.41463414634146339</v>
      </c>
    </row>
    <row r="3" spans="1:3" x14ac:dyDescent="0.2">
      <c r="A3" s="11" t="s">
        <v>15</v>
      </c>
      <c r="B3">
        <f>COUNTIFS(Respuestas!$O$2:$O$42,"="&amp;A3)</f>
        <v>8</v>
      </c>
      <c r="C3" s="8">
        <f t="shared" ref="C3:C6" si="0">B3/$B$7</f>
        <v>0.1951219512195122</v>
      </c>
    </row>
    <row r="4" spans="1:3" x14ac:dyDescent="0.2">
      <c r="A4" s="10" t="s">
        <v>14</v>
      </c>
      <c r="B4">
        <f>COUNTIFS(Respuestas!$O$2:$O$42,"="&amp;A4)</f>
        <v>6</v>
      </c>
      <c r="C4" s="8">
        <f t="shared" si="0"/>
        <v>0.14634146341463414</v>
      </c>
    </row>
    <row r="5" spans="1:3" x14ac:dyDescent="0.2">
      <c r="A5" s="11" t="s">
        <v>16</v>
      </c>
      <c r="B5">
        <f>COUNTIFS(Respuestas!$O$2:$O$42,"="&amp;A5)</f>
        <v>6</v>
      </c>
      <c r="C5" s="8">
        <f t="shared" si="0"/>
        <v>0.14634146341463414</v>
      </c>
    </row>
    <row r="6" spans="1:3" x14ac:dyDescent="0.2">
      <c r="A6" s="10" t="s">
        <v>22</v>
      </c>
      <c r="B6">
        <f>COUNTIFS(Respuestas!$O$2:$O$42,"="&amp;A6)</f>
        <v>4</v>
      </c>
      <c r="C6" s="8">
        <f t="shared" si="0"/>
        <v>9.7560975609756101E-2</v>
      </c>
    </row>
    <row r="7" spans="1:3" x14ac:dyDescent="0.2">
      <c r="A7" s="12" t="s">
        <v>188</v>
      </c>
      <c r="B7">
        <f>SUM(B2:B6)</f>
        <v>41</v>
      </c>
      <c r="C7" s="8">
        <f>SUM(C2:C6)</f>
        <v>1</v>
      </c>
    </row>
    <row r="9" spans="1:3" x14ac:dyDescent="0.2">
      <c r="B9" s="6" t="s">
        <v>187</v>
      </c>
      <c r="C9" s="8">
        <f>C2+C3</f>
        <v>0.6097560975609756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3C0B-C5D6-46E2-974D-22BDDE0875DD}">
  <dimension ref="A1:C9"/>
  <sheetViews>
    <sheetView workbookViewId="0">
      <selection activeCell="A2" activeCellId="1" sqref="C2:C6 A2:A6"/>
    </sheetView>
  </sheetViews>
  <sheetFormatPr baseColWidth="10" defaultRowHeight="12.75" x14ac:dyDescent="0.2"/>
  <cols>
    <col min="1" max="1" width="21.42578125" customWidth="1"/>
    <col min="2" max="2" width="19.140625" bestFit="1" customWidth="1"/>
  </cols>
  <sheetData>
    <row r="1" spans="1:3" ht="51" x14ac:dyDescent="0.2">
      <c r="A1" s="13" t="s">
        <v>197</v>
      </c>
      <c r="B1" s="6" t="s">
        <v>184</v>
      </c>
      <c r="C1" s="7" t="s">
        <v>185</v>
      </c>
    </row>
    <row r="2" spans="1:3" x14ac:dyDescent="0.2">
      <c r="A2" s="10" t="s">
        <v>13</v>
      </c>
      <c r="B2">
        <f>COUNTIFS(Respuestas!$P$2:$P$42,"="&amp;A2)</f>
        <v>1</v>
      </c>
      <c r="C2" s="8">
        <f>B2/$B$7</f>
        <v>2.4390243902439025E-2</v>
      </c>
    </row>
    <row r="3" spans="1:3" x14ac:dyDescent="0.2">
      <c r="A3" s="11" t="s">
        <v>15</v>
      </c>
      <c r="B3">
        <f>COUNTIFS(Respuestas!$P$2:$P$42,"="&amp;A3)</f>
        <v>4</v>
      </c>
      <c r="C3" s="8">
        <f t="shared" ref="C3:C6" si="0">B3/$B$7</f>
        <v>9.7560975609756101E-2</v>
      </c>
    </row>
    <row r="4" spans="1:3" x14ac:dyDescent="0.2">
      <c r="A4" s="10" t="s">
        <v>14</v>
      </c>
      <c r="B4">
        <f>COUNTIFS(Respuestas!$P$2:$P$42,"="&amp;A4)</f>
        <v>10</v>
      </c>
      <c r="C4" s="8">
        <f t="shared" si="0"/>
        <v>0.24390243902439024</v>
      </c>
    </row>
    <row r="5" spans="1:3" ht="25.5" x14ac:dyDescent="0.2">
      <c r="A5" s="11" t="s">
        <v>16</v>
      </c>
      <c r="B5">
        <f>COUNTIFS(Respuestas!$P$2:$P$42,"="&amp;A5)</f>
        <v>18</v>
      </c>
      <c r="C5" s="8">
        <f t="shared" si="0"/>
        <v>0.43902439024390244</v>
      </c>
    </row>
    <row r="6" spans="1:3" x14ac:dyDescent="0.2">
      <c r="A6" s="10" t="s">
        <v>22</v>
      </c>
      <c r="B6">
        <f>COUNTIFS(Respuestas!$P$2:$P$42,"="&amp;A6)</f>
        <v>8</v>
      </c>
      <c r="C6" s="8">
        <f t="shared" si="0"/>
        <v>0.1951219512195122</v>
      </c>
    </row>
    <row r="7" spans="1:3" x14ac:dyDescent="0.2">
      <c r="A7" s="12" t="s">
        <v>188</v>
      </c>
      <c r="B7">
        <f>SUM(B2:B6)</f>
        <v>41</v>
      </c>
      <c r="C7" s="8">
        <f>SUM(C2:C6)</f>
        <v>1</v>
      </c>
    </row>
    <row r="8" spans="1:3" x14ac:dyDescent="0.2">
      <c r="A8" s="12"/>
      <c r="C8" s="8"/>
    </row>
    <row r="9" spans="1:3" x14ac:dyDescent="0.2">
      <c r="A9" s="12"/>
      <c r="B9" s="6"/>
      <c r="C9" s="8"/>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2E54-6B93-4F19-962F-BDF1FCC54EED}">
  <dimension ref="A1:C19"/>
  <sheetViews>
    <sheetView tabSelected="1" zoomScaleNormal="100" workbookViewId="0">
      <selection activeCell="J24" sqref="J24"/>
    </sheetView>
  </sheetViews>
  <sheetFormatPr baseColWidth="10" defaultRowHeight="12.75" x14ac:dyDescent="0.2"/>
  <cols>
    <col min="1" max="1" width="18.85546875" customWidth="1"/>
    <col min="2" max="2" width="19.140625" bestFit="1" customWidth="1"/>
    <col min="3" max="3" width="20.85546875" customWidth="1"/>
  </cols>
  <sheetData>
    <row r="1" spans="1:3" ht="25.5" x14ac:dyDescent="0.2">
      <c r="A1" s="14" t="s">
        <v>2</v>
      </c>
      <c r="B1" s="15" t="s">
        <v>184</v>
      </c>
      <c r="C1" s="16" t="s">
        <v>185</v>
      </c>
    </row>
    <row r="2" spans="1:3" x14ac:dyDescent="0.2">
      <c r="A2" s="17">
        <v>17</v>
      </c>
      <c r="B2" s="18">
        <f>COUNTIFS(Respuestas!$C$2:$C$42,"="&amp;A2)</f>
        <v>1</v>
      </c>
      <c r="C2" s="19">
        <f>B2/$B$19</f>
        <v>2.4390243902439025E-2</v>
      </c>
    </row>
    <row r="3" spans="1:3" x14ac:dyDescent="0.2">
      <c r="A3" s="17">
        <v>18</v>
      </c>
      <c r="B3" s="18">
        <f>COUNTIFS(Respuestas!$C$2:$C$42,"="&amp;A3)</f>
        <v>3</v>
      </c>
      <c r="C3" s="19">
        <f t="shared" ref="C3:C18" si="0">B3/$B$19</f>
        <v>7.3170731707317069E-2</v>
      </c>
    </row>
    <row r="4" spans="1:3" x14ac:dyDescent="0.2">
      <c r="A4" s="17">
        <v>19</v>
      </c>
      <c r="B4" s="18">
        <f>COUNTIFS(Respuestas!$C$2:$C$42,"="&amp;A4)</f>
        <v>4</v>
      </c>
      <c r="C4" s="19">
        <f t="shared" si="0"/>
        <v>9.7560975609756101E-2</v>
      </c>
    </row>
    <row r="5" spans="1:3" x14ac:dyDescent="0.2">
      <c r="A5" s="17">
        <v>20</v>
      </c>
      <c r="B5" s="18">
        <f>COUNTIFS(Respuestas!$C$2:$C$42,"="&amp;A5)</f>
        <v>5</v>
      </c>
      <c r="C5" s="19">
        <f t="shared" si="0"/>
        <v>0.12195121951219512</v>
      </c>
    </row>
    <row r="6" spans="1:3" x14ac:dyDescent="0.2">
      <c r="A6" s="17">
        <v>21</v>
      </c>
      <c r="B6" s="18">
        <f>COUNTIFS(Respuestas!$C$2:$C$42,"="&amp;A6)</f>
        <v>8</v>
      </c>
      <c r="C6" s="19">
        <f t="shared" si="0"/>
        <v>0.1951219512195122</v>
      </c>
    </row>
    <row r="7" spans="1:3" x14ac:dyDescent="0.2">
      <c r="A7" s="17">
        <v>22</v>
      </c>
      <c r="B7" s="18">
        <f>COUNTIFS(Respuestas!$C$2:$C$42,"="&amp;A7)</f>
        <v>2</v>
      </c>
      <c r="C7" s="19">
        <f t="shared" si="0"/>
        <v>4.878048780487805E-2</v>
      </c>
    </row>
    <row r="8" spans="1:3" x14ac:dyDescent="0.2">
      <c r="A8" s="17">
        <v>23</v>
      </c>
      <c r="B8" s="18">
        <f>COUNTIFS(Respuestas!$C$2:$C$42,"="&amp;A8)</f>
        <v>4</v>
      </c>
      <c r="C8" s="19">
        <f t="shared" si="0"/>
        <v>9.7560975609756101E-2</v>
      </c>
    </row>
    <row r="9" spans="1:3" x14ac:dyDescent="0.2">
      <c r="A9" s="17">
        <v>25</v>
      </c>
      <c r="B9" s="18">
        <f>COUNTIFS(Respuestas!$C$2:$C$42,"="&amp;A9)</f>
        <v>3</v>
      </c>
      <c r="C9" s="19">
        <f t="shared" si="0"/>
        <v>7.3170731707317069E-2</v>
      </c>
    </row>
    <row r="10" spans="1:3" x14ac:dyDescent="0.2">
      <c r="A10" s="17">
        <v>27</v>
      </c>
      <c r="B10" s="18">
        <f>COUNTIFS(Respuestas!$C$2:$C$42,"="&amp;A10)</f>
        <v>1</v>
      </c>
      <c r="C10" s="19">
        <f t="shared" si="0"/>
        <v>2.4390243902439025E-2</v>
      </c>
    </row>
    <row r="11" spans="1:3" x14ac:dyDescent="0.2">
      <c r="A11" s="17">
        <v>28</v>
      </c>
      <c r="B11" s="18">
        <f>COUNTIFS(Respuestas!$C$2:$C$42,"="&amp;A11)</f>
        <v>1</v>
      </c>
      <c r="C11" s="19">
        <f t="shared" si="0"/>
        <v>2.4390243902439025E-2</v>
      </c>
    </row>
    <row r="12" spans="1:3" x14ac:dyDescent="0.2">
      <c r="A12" s="17">
        <v>35</v>
      </c>
      <c r="B12" s="18">
        <f>COUNTIFS(Respuestas!$C$2:$C$42,"="&amp;A12)</f>
        <v>1</v>
      </c>
      <c r="C12" s="19">
        <f t="shared" si="0"/>
        <v>2.4390243902439025E-2</v>
      </c>
    </row>
    <row r="13" spans="1:3" x14ac:dyDescent="0.2">
      <c r="A13" s="17">
        <v>38</v>
      </c>
      <c r="B13" s="18">
        <f>COUNTIFS(Respuestas!$C$2:$C$42,"="&amp;A13)</f>
        <v>2</v>
      </c>
      <c r="C13" s="19">
        <f t="shared" si="0"/>
        <v>4.878048780487805E-2</v>
      </c>
    </row>
    <row r="14" spans="1:3" x14ac:dyDescent="0.2">
      <c r="A14" s="17">
        <v>39</v>
      </c>
      <c r="B14" s="18">
        <f>COUNTIFS(Respuestas!$C$2:$C$42,"="&amp;A14)</f>
        <v>1</v>
      </c>
      <c r="C14" s="19">
        <f t="shared" si="0"/>
        <v>2.4390243902439025E-2</v>
      </c>
    </row>
    <row r="15" spans="1:3" x14ac:dyDescent="0.2">
      <c r="A15" s="17">
        <v>43</v>
      </c>
      <c r="B15" s="18">
        <f>COUNTIFS(Respuestas!$C$2:$C$42,"="&amp;A15)</f>
        <v>1</v>
      </c>
      <c r="C15" s="19">
        <f t="shared" si="0"/>
        <v>2.4390243902439025E-2</v>
      </c>
    </row>
    <row r="16" spans="1:3" x14ac:dyDescent="0.2">
      <c r="A16" s="17">
        <v>46</v>
      </c>
      <c r="B16" s="18">
        <f>COUNTIFS(Respuestas!$C$2:$C$42,"="&amp;A16)</f>
        <v>1</v>
      </c>
      <c r="C16" s="19">
        <f t="shared" si="0"/>
        <v>2.4390243902439025E-2</v>
      </c>
    </row>
    <row r="17" spans="1:3" x14ac:dyDescent="0.2">
      <c r="A17" s="17">
        <v>49</v>
      </c>
      <c r="B17" s="18">
        <f>COUNTIFS(Respuestas!$C$2:$C$42,"="&amp;A17)</f>
        <v>2</v>
      </c>
      <c r="C17" s="19">
        <f t="shared" si="0"/>
        <v>4.878048780487805E-2</v>
      </c>
    </row>
    <row r="18" spans="1:3" x14ac:dyDescent="0.2">
      <c r="A18" s="17">
        <v>53</v>
      </c>
      <c r="B18" s="18">
        <f>COUNTIFS(Respuestas!$C$2:$C$42,"="&amp;A18)</f>
        <v>1</v>
      </c>
      <c r="C18" s="19">
        <f t="shared" si="0"/>
        <v>2.4390243902439025E-2</v>
      </c>
    </row>
    <row r="19" spans="1:3" x14ac:dyDescent="0.2">
      <c r="A19" t="s">
        <v>198</v>
      </c>
      <c r="B19">
        <f>SUM(B2:B18)</f>
        <v>41</v>
      </c>
      <c r="C19" s="20">
        <f>SUM(C2:C18)</f>
        <v>1.0000000000000002</v>
      </c>
    </row>
  </sheetData>
  <sortState xmlns:xlrd2="http://schemas.microsoft.com/office/spreadsheetml/2017/richdata2" ref="A2:A18">
    <sortCondition ref="A2:A18"/>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3E98-7B65-440D-A16F-56D2CD2DF279}">
  <dimension ref="A1:C6"/>
  <sheetViews>
    <sheetView workbookViewId="0">
      <selection activeCell="B1" sqref="B1:C3"/>
    </sheetView>
  </sheetViews>
  <sheetFormatPr baseColWidth="10" defaultRowHeight="12.75" x14ac:dyDescent="0.2"/>
  <cols>
    <col min="1" max="1" width="28.28515625" bestFit="1" customWidth="1"/>
    <col min="2" max="2" width="19.140625" bestFit="1" customWidth="1"/>
    <col min="3" max="3" width="21.42578125" style="22" customWidth="1"/>
  </cols>
  <sheetData>
    <row r="1" spans="1:3" ht="25.5" x14ac:dyDescent="0.2">
      <c r="A1" s="14" t="s">
        <v>4</v>
      </c>
      <c r="B1" s="15" t="s">
        <v>184</v>
      </c>
      <c r="C1" s="21" t="s">
        <v>185</v>
      </c>
    </row>
    <row r="2" spans="1:3" x14ac:dyDescent="0.2">
      <c r="A2" s="17" t="s">
        <v>11</v>
      </c>
      <c r="B2" s="18">
        <f>COUNTIFS(Respuestas!$E$2:$E$42,"="&amp;A2)</f>
        <v>10</v>
      </c>
      <c r="C2" s="23">
        <f>B2/$B$6</f>
        <v>0.24390243902439024</v>
      </c>
    </row>
    <row r="3" spans="1:3" x14ac:dyDescent="0.2">
      <c r="A3" s="17" t="s">
        <v>55</v>
      </c>
      <c r="B3" s="18">
        <f>COUNTIFS(Respuestas!$E$2:$E$42,"="&amp;A3)</f>
        <v>27</v>
      </c>
      <c r="C3" s="23">
        <f t="shared" ref="C3:C5" si="0">B3/$B$6</f>
        <v>0.65853658536585369</v>
      </c>
    </row>
    <row r="4" spans="1:3" x14ac:dyDescent="0.2">
      <c r="A4" s="17" t="s">
        <v>85</v>
      </c>
      <c r="B4" s="18">
        <f>COUNTIFS(Respuestas!$E$2:$E$42,"="&amp;A4)</f>
        <v>3</v>
      </c>
      <c r="C4" s="23">
        <f t="shared" si="0"/>
        <v>7.3170731707317069E-2</v>
      </c>
    </row>
    <row r="5" spans="1:3" x14ac:dyDescent="0.2">
      <c r="A5" s="17" t="s">
        <v>96</v>
      </c>
      <c r="B5" s="18">
        <f>COUNTIFS(Respuestas!$E$2:$E$42,"="&amp;A5)</f>
        <v>1</v>
      </c>
      <c r="C5" s="23">
        <f t="shared" si="0"/>
        <v>2.4390243902439025E-2</v>
      </c>
    </row>
    <row r="6" spans="1:3" x14ac:dyDescent="0.2">
      <c r="A6" s="3" t="s">
        <v>198</v>
      </c>
      <c r="B6">
        <f>SUM(B2:B5)</f>
        <v>41</v>
      </c>
      <c r="C6" s="22">
        <f>SUM(C2:C5)</f>
        <v>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6A0A-D723-4FFB-B9CD-44B611062635}">
  <dimension ref="A1:C4"/>
  <sheetViews>
    <sheetView workbookViewId="0">
      <selection activeCell="D34" sqref="D34"/>
    </sheetView>
  </sheetViews>
  <sheetFormatPr baseColWidth="10" defaultRowHeight="12.75" x14ac:dyDescent="0.2"/>
  <cols>
    <col min="1" max="1" width="18.85546875" customWidth="1"/>
    <col min="2" max="2" width="19.140625" bestFit="1" customWidth="1"/>
    <col min="3" max="3" width="18.85546875" customWidth="1"/>
  </cols>
  <sheetData>
    <row r="1" spans="1:3" ht="25.5" x14ac:dyDescent="0.2">
      <c r="A1" s="1" t="s">
        <v>3</v>
      </c>
      <c r="B1" s="15" t="s">
        <v>184</v>
      </c>
      <c r="C1" s="21" t="s">
        <v>185</v>
      </c>
    </row>
    <row r="2" spans="1:3" x14ac:dyDescent="0.2">
      <c r="A2" s="3" t="s">
        <v>10</v>
      </c>
      <c r="B2" s="18">
        <f>COUNTIFS(Respuestas!$D$2:$D$42,"="&amp;A2)</f>
        <v>15</v>
      </c>
      <c r="C2" s="23">
        <f>B2/$B$4</f>
        <v>0.36585365853658536</v>
      </c>
    </row>
    <row r="3" spans="1:3" x14ac:dyDescent="0.2">
      <c r="A3" s="3" t="s">
        <v>21</v>
      </c>
      <c r="B3" s="18">
        <f>COUNTIFS(Respuestas!$D$2:$D$42,"="&amp;A3)</f>
        <v>26</v>
      </c>
      <c r="C3" s="23">
        <f>B3/$B$4</f>
        <v>0.63414634146341464</v>
      </c>
    </row>
    <row r="4" spans="1:3" x14ac:dyDescent="0.2">
      <c r="A4" t="s">
        <v>198</v>
      </c>
      <c r="B4">
        <f>SUM(B2:B3)</f>
        <v>41</v>
      </c>
      <c r="C4" s="22">
        <f>SUM(C2:C3)</f>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Respuestas</vt:lpstr>
      <vt:lpstr>1</vt:lpstr>
      <vt:lpstr>2</vt:lpstr>
      <vt:lpstr>3</vt:lpstr>
      <vt:lpstr>4</vt:lpstr>
      <vt:lpstr>5</vt:lpstr>
      <vt:lpstr>6</vt:lpstr>
      <vt:lpstr>7</vt:lpstr>
      <vt:lpstr>8</vt:lpstr>
      <vt:lpstr>9</vt:lpstr>
      <vt:lpstr>10</vt:lpstr>
      <vt:lpstr>Edad</vt:lpstr>
      <vt:lpstr>Nivel educativo</vt:lpstr>
      <vt:lpstr>Genero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cp:lastModifiedBy>
  <dcterms:modified xsi:type="dcterms:W3CDTF">2026-04-23T02:38:41Z</dcterms:modified>
</cp:coreProperties>
</file>