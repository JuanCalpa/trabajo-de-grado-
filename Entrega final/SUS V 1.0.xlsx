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trabajo-de-grado-\Entrega final\"/>
    </mc:Choice>
  </mc:AlternateContent>
  <xr:revisionPtr revIDLastSave="0" documentId="13_ncr:1_{108F6A6F-B359-477E-8E57-4E306C92C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" sheetId="3" r:id="rId1"/>
    <sheet name="SUS" sheetId="1" r:id="rId2"/>
    <sheet name="Escala" sheetId="2" state="hidden" r:id="rId3"/>
  </sheets>
  <definedNames>
    <definedName name="_Hlk147391021" localSheetId="1">SUS!$A$1</definedName>
    <definedName name="_Hlk147391225" localSheetId="2">Escala!$A$1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M8" i="3" s="1"/>
  <c r="N8" i="3" s="1"/>
  <c r="L9" i="3"/>
  <c r="M9" i="3" s="1"/>
  <c r="N9" i="3" s="1"/>
  <c r="L10" i="3"/>
  <c r="L11" i="3"/>
  <c r="M11" i="3" s="1"/>
  <c r="N11" i="3" s="1"/>
  <c r="L12" i="3"/>
  <c r="M12" i="3" s="1"/>
  <c r="N12" i="3" s="1"/>
  <c r="L13" i="3"/>
  <c r="L14" i="3"/>
  <c r="M14" i="3" s="1"/>
  <c r="N14" i="3" s="1"/>
  <c r="L15" i="3"/>
  <c r="M15" i="3" s="1"/>
  <c r="N15" i="3" s="1"/>
  <c r="L16" i="3"/>
  <c r="L17" i="3"/>
  <c r="M17" i="3" s="1"/>
  <c r="N17" i="3" s="1"/>
  <c r="L18" i="3"/>
  <c r="L19" i="3"/>
  <c r="M19" i="3" s="1"/>
  <c r="N19" i="3" s="1"/>
  <c r="L20" i="3"/>
  <c r="M20" i="3" s="1"/>
  <c r="N20" i="3" s="1"/>
  <c r="L21" i="3"/>
  <c r="M21" i="3" s="1"/>
  <c r="N21" i="3" s="1"/>
  <c r="L22" i="3"/>
  <c r="M22" i="3" s="1"/>
  <c r="N22" i="3" s="1"/>
  <c r="L23" i="3"/>
  <c r="M23" i="3" s="1"/>
  <c r="N23" i="3" s="1"/>
  <c r="L24" i="3"/>
  <c r="M24" i="3" s="1"/>
  <c r="N24" i="3" s="1"/>
  <c r="L25" i="3"/>
  <c r="M25" i="3" s="1"/>
  <c r="N25" i="3" s="1"/>
  <c r="L26" i="3"/>
  <c r="L27" i="3"/>
  <c r="L28" i="3"/>
  <c r="M28" i="3" s="1"/>
  <c r="N28" i="3" s="1"/>
  <c r="L29" i="3"/>
  <c r="M29" i="3" s="1"/>
  <c r="N29" i="3" s="1"/>
  <c r="L30" i="3"/>
  <c r="L31" i="3"/>
  <c r="M31" i="3" s="1"/>
  <c r="N31" i="3" s="1"/>
  <c r="L32" i="3"/>
  <c r="L33" i="3"/>
  <c r="M33" i="3" s="1"/>
  <c r="N33" i="3" s="1"/>
  <c r="L34" i="3"/>
  <c r="L35" i="3"/>
  <c r="L36" i="3"/>
  <c r="M36" i="3" s="1"/>
  <c r="N36" i="3" s="1"/>
  <c r="L37" i="3"/>
  <c r="M37" i="3" s="1"/>
  <c r="N37" i="3" s="1"/>
  <c r="L38" i="3"/>
  <c r="M38" i="3" s="1"/>
  <c r="N38" i="3" s="1"/>
  <c r="L39" i="3"/>
  <c r="M39" i="3" s="1"/>
  <c r="N39" i="3" s="1"/>
  <c r="L40" i="3"/>
  <c r="M10" i="3"/>
  <c r="N10" i="3" s="1"/>
  <c r="M13" i="3"/>
  <c r="N13" i="3" s="1"/>
  <c r="M16" i="3"/>
  <c r="N16" i="3" s="1"/>
  <c r="M18" i="3"/>
  <c r="N18" i="3" s="1"/>
  <c r="M26" i="3"/>
  <c r="N26" i="3" s="1"/>
  <c r="M27" i="3"/>
  <c r="N27" i="3" s="1"/>
  <c r="M30" i="3"/>
  <c r="N30" i="3" s="1"/>
  <c r="M32" i="3"/>
  <c r="N32" i="3" s="1"/>
  <c r="M34" i="3"/>
  <c r="N34" i="3" s="1"/>
  <c r="M35" i="3"/>
  <c r="N35" i="3" s="1"/>
  <c r="M40" i="3"/>
  <c r="N40" i="3" s="1"/>
  <c r="D3" i="3"/>
  <c r="L7" i="3" l="1"/>
  <c r="M7" i="3" s="1"/>
  <c r="B2" i="3" l="1"/>
  <c r="B3" i="3" s="1"/>
  <c r="N7" i="3"/>
</calcChain>
</file>

<file path=xl/sharedStrings.xml><?xml version="1.0" encoding="utf-8"?>
<sst xmlns="http://schemas.openxmlformats.org/spreadsheetml/2006/main" count="89" uniqueCount="79">
  <si>
    <t>No</t>
  </si>
  <si>
    <t>Enunciado (Bangor et al., 2008)</t>
  </si>
  <si>
    <t>I think that I would like to use this product frequently</t>
  </si>
  <si>
    <t>I found the product unnecessarily complex</t>
  </si>
  <si>
    <t>I thought the product was easy to use</t>
  </si>
  <si>
    <t>I think that I would need the support of a technical person to be able to use this product</t>
  </si>
  <si>
    <t>I found that the various functions in this product were well integrated</t>
  </si>
  <si>
    <t>I thought that there was too much inconsistency in this product</t>
  </si>
  <si>
    <t>I would imaging that most people would learn to use this product very quickly</t>
  </si>
  <si>
    <t>I found the product very awkward to use</t>
  </si>
  <si>
    <t>I felt very confident using the product</t>
  </si>
  <si>
    <t>I needed to learn a lot of things before I could get going with this product</t>
  </si>
  <si>
    <t>Escala de valoración</t>
  </si>
  <si>
    <t>Puntuación</t>
  </si>
  <si>
    <t>Totalmente en desacuerdo</t>
  </si>
  <si>
    <t>En desacuerdo</t>
  </si>
  <si>
    <t>Neutro</t>
  </si>
  <si>
    <t>De acuerdo</t>
  </si>
  <si>
    <t>Totalmente de acuerdo</t>
  </si>
  <si>
    <t>Valor de multiplicidad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</si>
  <si>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</si>
  <si>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</si>
  <si>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</si>
  <si>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</si>
  <si>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</si>
  <si>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</si>
  <si>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</si>
  <si>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</si>
  <si>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</si>
  <si>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</si>
  <si>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Evaluador</t>
  </si>
  <si>
    <t>SUS Score</t>
  </si>
  <si>
    <t>SUS Grade</t>
  </si>
  <si>
    <t>Average SCORE</t>
  </si>
  <si>
    <t>Average GRADE</t>
  </si>
  <si>
    <t>Encontré el sistema innecesariamente complejo</t>
  </si>
  <si>
    <t>Creo que me gustaría usar este sistema con frecuencia</t>
  </si>
  <si>
    <t>Pensé que el sistema era fácil de usar</t>
  </si>
  <si>
    <t>Creo que necesitaría el apoyo de un técnico para poder usar este sistema</t>
  </si>
  <si>
    <t>Encontré que las diversas funciones del sistema estaban bien integradas</t>
  </si>
  <si>
    <t>Pensé que había demasiada inconsistencia en este sistema</t>
  </si>
  <si>
    <t>Encontré el sistema muy complicado de usar</t>
  </si>
  <si>
    <t>Me sentí muy seguro(a) usando el sistema</t>
  </si>
  <si>
    <t>Necesité aprender muchas cosas antes de poder empezar a usar este sistema</t>
  </si>
  <si>
    <t>Participante 1</t>
  </si>
  <si>
    <t>Participante 2</t>
  </si>
  <si>
    <t>Considero que la mayoría de las personas aprenderían a usar este sistema muy rápidamente</t>
  </si>
  <si>
    <t>Participante 3</t>
  </si>
  <si>
    <t>Participante 4</t>
  </si>
  <si>
    <t>Participante 5</t>
  </si>
  <si>
    <t>Participante 6</t>
  </si>
  <si>
    <t>Participante 7</t>
  </si>
  <si>
    <t>Participante 8</t>
  </si>
  <si>
    <t>Participante 9</t>
  </si>
  <si>
    <t>Participante 10</t>
  </si>
  <si>
    <t>Participante 11</t>
  </si>
  <si>
    <t>Participante 12</t>
  </si>
  <si>
    <t>Participante 13</t>
  </si>
  <si>
    <t>Participante 14</t>
  </si>
  <si>
    <t>Participante 15</t>
  </si>
  <si>
    <t>Participante 16</t>
  </si>
  <si>
    <t>Participante 17</t>
  </si>
  <si>
    <t>Participante 18</t>
  </si>
  <si>
    <t>Participante 19</t>
  </si>
  <si>
    <t>Participante 20</t>
  </si>
  <si>
    <t>Participante 21</t>
  </si>
  <si>
    <t>Participante 22</t>
  </si>
  <si>
    <t>Participante 23</t>
  </si>
  <si>
    <t>Participante 24</t>
  </si>
  <si>
    <t>Participante 25</t>
  </si>
  <si>
    <t>Participante 26</t>
  </si>
  <si>
    <t>Participante 27</t>
  </si>
  <si>
    <t>Participante 28</t>
  </si>
  <si>
    <t>Participante 29</t>
  </si>
  <si>
    <t>Participante 30</t>
  </si>
  <si>
    <t>Participante 31</t>
  </si>
  <si>
    <t>Participante 32</t>
  </si>
  <si>
    <t>Participante 33</t>
  </si>
  <si>
    <t>Participante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</si>
</sst>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4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1" xfId="0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8" fillId="6" borderId="0" xfId="0" applyFont="1" applyFill="1" applyBorder="1" applyAlignment="1">
      <alignment vertical="center"/>
    </xf>
    <xf numFmtId="0" fontId="8" fillId="7" borderId="0" xfId="0" applyFont="1" applyFill="1" applyBorder="1" applyAlignment="1">
      <alignment vertical="center"/>
    </xf>
  </cellXfs>
  <cellStyles count="1">
    <cellStyle name="Normal" xfId="0" builtinId="0"/>
  </cellStyles>
  <dxfs count="20">
    <dxf>
      <font>
        <color theme="0"/>
      </font>
      <fill>
        <patternFill>
          <bgColor theme="9" tint="-0.49998474074526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7" tint="-0.499984740745262"/>
      </font>
      <fill>
        <patternFill>
          <bgColor rgb="FFFFCC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600080</xdr:colOff>
      <xdr:row>1</xdr:row>
      <xdr:rowOff>161925</xdr:rowOff>
    </xdr:from>
    <xdr:to>
      <xdr:col>12</xdr:col>
      <xdr:colOff>456898</xdr:colOff>
      <xdr:row>11</xdr:row>
      <xdr:rowOff>17520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3BBB56-545B-B1F5-5AB9-6E2C2A4F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5" y="485775"/>
          <a:ext cx="5343218" cy="3094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6536-B108-48DF-9448-F20F957F45CA}">
  <dimension ref="A2:N47"/>
  <sheetViews>
    <sheetView tabSelected="1" topLeftCell="A10" zoomScale="110" zoomScaleNormal="110" workbookViewId="0">
      <pane xSplit="1" topLeftCell="B1" activePane="topRight" state="frozen"/>
      <selection pane="topRight" activeCell="A31" sqref="A31:XFD31"/>
    </sheetView>
  </sheetViews>
  <sheetFormatPr baseColWidth="10" defaultRowHeight="15" x14ac:dyDescent="0.25"/>
  <cols>
    <col min="1" max="1" width="21" customWidth="1"/>
    <col min="2" max="11" width="15.7109375" customWidth="1"/>
    <col min="12" max="12" width="3" hidden="1" customWidth="1"/>
  </cols>
  <sheetData>
    <row r="2" spans="1:14" ht="21" x14ac:dyDescent="0.35">
      <c r="A2" s="21" t="s">
        <v>33</v>
      </c>
      <c r="B2" s="14">
        <f>IF(AVERAGE(M7:M45)&gt;0,AVERAGEIF(M7:M45,"&gt;"&amp;0),0)</f>
        <v>75.441176470588232</v>
      </c>
    </row>
    <row r="3" spans="1:14" ht="23.25" x14ac:dyDescent="0.35">
      <c r="A3" s="21" t="s">
        <v>34</v>
      </c>
      <c r="B3" s="15" t="str">
        <f>IF(B2&gt;=78.9,"A",IF(AND(B2&gt;=72.6,B2&lt;=78.8),"B",IF(AND(B2&gt;=62.7,B2&lt;=72.5),"C",IF(AND(B2&gt;=51.7,B2&lt;=62.6),"D",IF(AND(B2 &gt;0,B2&lt;=51.6),"F","")))))</f>
        <v>B</v>
      </c>
      <c r="D3" t="str">
        <f>IF(D2&gt;=78.9,"A",IF(AND(D2&gt;=72.6,D2&lt;=78.8),"B",IF(AND(D2&gt;=62.7,D2&lt;=72.5),"C",IF(AND(D2&gt;=51.7,D2&lt;=62.6),"D",IF(AND(D2 &gt;0,D2&lt;=51.6),"F","")))))</f>
        <v/>
      </c>
    </row>
    <row r="5" spans="1:14" x14ac:dyDescent="0.25"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 t="s">
        <v>28</v>
      </c>
      <c r="K5" s="9" t="s">
        <v>29</v>
      </c>
      <c r="L5" s="8"/>
    </row>
    <row r="6" spans="1:14" ht="72" x14ac:dyDescent="0.25">
      <c r="A6" s="9" t="s">
        <v>30</v>
      </c>
      <c r="B6" s="12" t="s">
        <v>36</v>
      </c>
      <c r="C6" s="12" t="s">
        <v>35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46</v>
      </c>
      <c r="I6" s="12" t="s">
        <v>41</v>
      </c>
      <c r="J6" s="12" t="s">
        <v>42</v>
      </c>
      <c r="K6" s="12" t="s">
        <v>43</v>
      </c>
      <c r="L6" s="12"/>
      <c r="M6" s="13" t="s">
        <v>31</v>
      </c>
      <c r="N6" s="13" t="s">
        <v>32</v>
      </c>
    </row>
    <row r="7" spans="1:14" x14ac:dyDescent="0.25">
      <c r="A7" s="4" t="s">
        <v>44</v>
      </c>
      <c r="B7" s="4">
        <v>5</v>
      </c>
      <c r="C7" s="4">
        <v>3</v>
      </c>
      <c r="D7" s="4">
        <v>3</v>
      </c>
      <c r="E7" s="4">
        <v>4</v>
      </c>
      <c r="F7" s="4">
        <v>5</v>
      </c>
      <c r="G7" s="4">
        <v>3</v>
      </c>
      <c r="H7" s="4">
        <v>4</v>
      </c>
      <c r="I7" s="4">
        <v>1</v>
      </c>
      <c r="J7" s="4">
        <v>5</v>
      </c>
      <c r="K7" s="4">
        <v>4</v>
      </c>
      <c r="L7" s="4">
        <f>SUM(B7:K7)</f>
        <v>37</v>
      </c>
      <c r="M7" s="10">
        <f>IF(L7 &gt; 0,((B7-1)+(5-C7)+(D7-1)+(5-E7)+(F7-1)+(5-G7)+(H7-1)+(5-I7)+(J7-1)+(5-K7))*2.5,0)</f>
        <v>67.5</v>
      </c>
      <c r="N7" s="11" t="str">
        <f>IF(M7&gt;=78.9,"A",IF(AND(M7&gt;=72.6,M7&lt;=78.8),"B",IF(AND(M7&gt;=62.7,M7&lt;=72.5),"C",IF(AND(M7&gt;=51.7,M7&lt;=62.6),"D",IF(AND(M7 &gt;0,M7&lt;=51.6),"F","")))))</f>
        <v>C</v>
      </c>
    </row>
    <row r="8" spans="1:14" x14ac:dyDescent="0.25">
      <c r="A8" s="4" t="s">
        <v>45</v>
      </c>
      <c r="B8" s="4">
        <v>4</v>
      </c>
      <c r="C8" s="4">
        <v>1</v>
      </c>
      <c r="D8" s="4">
        <v>5</v>
      </c>
      <c r="E8" s="4">
        <v>2</v>
      </c>
      <c r="F8" s="4">
        <v>4</v>
      </c>
      <c r="G8" s="4">
        <v>1</v>
      </c>
      <c r="H8" s="4">
        <v>3</v>
      </c>
      <c r="I8" s="4">
        <v>1</v>
      </c>
      <c r="J8" s="4">
        <v>4</v>
      </c>
      <c r="K8" s="4">
        <v>2</v>
      </c>
      <c r="L8" s="4">
        <f t="shared" ref="L8:L40" si="0">SUM(B8:K8)</f>
        <v>27</v>
      </c>
      <c r="M8" s="10">
        <f t="shared" ref="M8:M40" si="1">IF(L8 &gt; 0,((B8-1)+(5-C8)+(D8-1)+(5-E8)+(F8-1)+(5-G8)+(H8-1)+(5-I8)+(J8-1)+(5-K8))*2.5,0)</f>
        <v>82.5</v>
      </c>
      <c r="N8" s="11" t="str">
        <f t="shared" ref="N8:N40" si="2">IF(M8&gt;=78.9,"A",IF(AND(M8&gt;=72.6,M8&lt;=78.8),"B",IF(AND(M8&gt;=62.7,M8&lt;=72.5),"C",IF(AND(M8&gt;=51.7,M8&lt;=62.6),"D",IF(AND(M8 &gt;0,M8&lt;=51.6),"F","")))))</f>
        <v>A</v>
      </c>
    </row>
    <row r="9" spans="1:14" x14ac:dyDescent="0.25">
      <c r="A9" s="4" t="s">
        <v>47</v>
      </c>
      <c r="B9" s="4">
        <v>3</v>
      </c>
      <c r="C9" s="4">
        <v>1</v>
      </c>
      <c r="D9" s="4">
        <v>5</v>
      </c>
      <c r="E9" s="4">
        <v>1</v>
      </c>
      <c r="F9" s="4">
        <v>5</v>
      </c>
      <c r="G9" s="4">
        <v>2</v>
      </c>
      <c r="H9" s="4">
        <v>5</v>
      </c>
      <c r="I9" s="4">
        <v>1</v>
      </c>
      <c r="J9" s="4">
        <v>4</v>
      </c>
      <c r="K9" s="4">
        <v>1</v>
      </c>
      <c r="L9" s="4">
        <f t="shared" si="0"/>
        <v>28</v>
      </c>
      <c r="M9" s="10">
        <f t="shared" si="1"/>
        <v>90</v>
      </c>
      <c r="N9" s="11" t="str">
        <f t="shared" si="2"/>
        <v>A</v>
      </c>
    </row>
    <row r="10" spans="1:14" x14ac:dyDescent="0.25">
      <c r="A10" s="4" t="s">
        <v>48</v>
      </c>
      <c r="B10" s="4">
        <v>4</v>
      </c>
      <c r="C10" s="4">
        <v>1</v>
      </c>
      <c r="D10" s="4">
        <v>5</v>
      </c>
      <c r="E10" s="4">
        <v>1</v>
      </c>
      <c r="F10" s="4">
        <v>4</v>
      </c>
      <c r="G10" s="4">
        <v>1</v>
      </c>
      <c r="H10" s="4">
        <v>4</v>
      </c>
      <c r="I10" s="4">
        <v>1</v>
      </c>
      <c r="J10" s="4">
        <v>4</v>
      </c>
      <c r="K10" s="4">
        <v>1</v>
      </c>
      <c r="L10" s="4">
        <f t="shared" si="0"/>
        <v>26</v>
      </c>
      <c r="M10" s="10">
        <f t="shared" si="1"/>
        <v>90</v>
      </c>
      <c r="N10" s="11" t="str">
        <f t="shared" si="2"/>
        <v>A</v>
      </c>
    </row>
    <row r="11" spans="1:14" x14ac:dyDescent="0.25">
      <c r="A11" s="4" t="s">
        <v>49</v>
      </c>
      <c r="B11" s="4">
        <v>5</v>
      </c>
      <c r="C11" s="4">
        <v>1</v>
      </c>
      <c r="D11" s="4">
        <v>5</v>
      </c>
      <c r="E11" s="4">
        <v>4</v>
      </c>
      <c r="F11" s="4">
        <v>5</v>
      </c>
      <c r="G11" s="4">
        <v>1</v>
      </c>
      <c r="H11" s="4">
        <v>5</v>
      </c>
      <c r="I11" s="4">
        <v>1</v>
      </c>
      <c r="J11" s="4">
        <v>5</v>
      </c>
      <c r="K11" s="4">
        <v>4</v>
      </c>
      <c r="L11" s="4">
        <f t="shared" si="0"/>
        <v>36</v>
      </c>
      <c r="M11" s="10">
        <f t="shared" si="1"/>
        <v>85</v>
      </c>
      <c r="N11" s="11" t="str">
        <f t="shared" si="2"/>
        <v>A</v>
      </c>
    </row>
    <row r="12" spans="1:14" x14ac:dyDescent="0.25">
      <c r="A12" s="4" t="s">
        <v>50</v>
      </c>
      <c r="B12" s="4">
        <v>4</v>
      </c>
      <c r="C12" s="4">
        <v>1</v>
      </c>
      <c r="D12" s="4">
        <v>5</v>
      </c>
      <c r="E12" s="4">
        <v>1</v>
      </c>
      <c r="F12" s="4">
        <v>5</v>
      </c>
      <c r="G12" s="4">
        <v>1</v>
      </c>
      <c r="H12" s="4">
        <v>5</v>
      </c>
      <c r="I12" s="4">
        <v>1</v>
      </c>
      <c r="J12" s="4">
        <v>5</v>
      </c>
      <c r="K12" s="4">
        <v>1</v>
      </c>
      <c r="L12" s="4">
        <f t="shared" si="0"/>
        <v>29</v>
      </c>
      <c r="M12" s="10">
        <f t="shared" si="1"/>
        <v>97.5</v>
      </c>
      <c r="N12" s="11" t="str">
        <f t="shared" si="2"/>
        <v>A</v>
      </c>
    </row>
    <row r="13" spans="1:14" x14ac:dyDescent="0.25">
      <c r="A13" s="4" t="s">
        <v>51</v>
      </c>
      <c r="B13" s="4">
        <v>4</v>
      </c>
      <c r="C13" s="4">
        <v>2</v>
      </c>
      <c r="D13" s="4">
        <v>4</v>
      </c>
      <c r="E13" s="4">
        <v>1</v>
      </c>
      <c r="F13" s="4">
        <v>4</v>
      </c>
      <c r="G13" s="4">
        <v>1</v>
      </c>
      <c r="H13" s="4">
        <v>5</v>
      </c>
      <c r="I13" s="4">
        <v>1</v>
      </c>
      <c r="J13" s="4">
        <v>4</v>
      </c>
      <c r="K13" s="4">
        <v>1</v>
      </c>
      <c r="L13" s="4">
        <f t="shared" si="0"/>
        <v>27</v>
      </c>
      <c r="M13" s="10">
        <f t="shared" si="1"/>
        <v>87.5</v>
      </c>
      <c r="N13" s="11" t="str">
        <f t="shared" si="2"/>
        <v>A</v>
      </c>
    </row>
    <row r="14" spans="1:14" x14ac:dyDescent="0.25">
      <c r="A14" s="4" t="s">
        <v>52</v>
      </c>
      <c r="B14" s="4">
        <v>4</v>
      </c>
      <c r="C14" s="4">
        <v>3</v>
      </c>
      <c r="D14" s="4">
        <v>3</v>
      </c>
      <c r="E14" s="4">
        <v>4</v>
      </c>
      <c r="F14" s="4">
        <v>4</v>
      </c>
      <c r="G14" s="4">
        <v>2</v>
      </c>
      <c r="H14" s="4">
        <v>4</v>
      </c>
      <c r="I14" s="4">
        <v>2</v>
      </c>
      <c r="J14" s="4">
        <v>3</v>
      </c>
      <c r="K14" s="4">
        <v>3</v>
      </c>
      <c r="L14" s="4">
        <f t="shared" si="0"/>
        <v>32</v>
      </c>
      <c r="M14" s="10">
        <f t="shared" si="1"/>
        <v>60</v>
      </c>
      <c r="N14" s="11" t="str">
        <f t="shared" si="2"/>
        <v>D</v>
      </c>
    </row>
    <row r="15" spans="1:14" x14ac:dyDescent="0.25">
      <c r="A15" s="4" t="s">
        <v>53</v>
      </c>
      <c r="B15" s="4">
        <v>4</v>
      </c>
      <c r="C15" s="4">
        <v>1</v>
      </c>
      <c r="D15" s="4">
        <v>5</v>
      </c>
      <c r="E15" s="4">
        <v>3</v>
      </c>
      <c r="F15" s="4">
        <v>5</v>
      </c>
      <c r="G15" s="4">
        <v>2</v>
      </c>
      <c r="H15" s="4">
        <v>4</v>
      </c>
      <c r="I15" s="4">
        <v>1</v>
      </c>
      <c r="J15" s="4">
        <v>5</v>
      </c>
      <c r="K15" s="4">
        <v>2</v>
      </c>
      <c r="L15" s="4">
        <f t="shared" si="0"/>
        <v>32</v>
      </c>
      <c r="M15" s="10">
        <f t="shared" si="1"/>
        <v>85</v>
      </c>
      <c r="N15" s="11" t="str">
        <f t="shared" si="2"/>
        <v>A</v>
      </c>
    </row>
    <row r="16" spans="1:14" x14ac:dyDescent="0.25">
      <c r="A16" s="4" t="s">
        <v>54</v>
      </c>
      <c r="B16" s="4">
        <v>5</v>
      </c>
      <c r="C16" s="4">
        <v>3</v>
      </c>
      <c r="D16" s="4">
        <v>4</v>
      </c>
      <c r="E16" s="4">
        <v>1</v>
      </c>
      <c r="F16" s="4">
        <v>5</v>
      </c>
      <c r="G16" s="4">
        <v>2</v>
      </c>
      <c r="H16" s="4">
        <v>4</v>
      </c>
      <c r="I16" s="4">
        <v>1</v>
      </c>
      <c r="J16" s="4">
        <v>5</v>
      </c>
      <c r="K16" s="4">
        <v>1</v>
      </c>
      <c r="L16" s="4">
        <f t="shared" si="0"/>
        <v>31</v>
      </c>
      <c r="M16" s="10">
        <f t="shared" si="1"/>
        <v>87.5</v>
      </c>
      <c r="N16" s="11" t="str">
        <f t="shared" si="2"/>
        <v>A</v>
      </c>
    </row>
    <row r="17" spans="1:14" x14ac:dyDescent="0.25">
      <c r="A17" s="4" t="s">
        <v>55</v>
      </c>
      <c r="B17" s="4">
        <v>5</v>
      </c>
      <c r="C17" s="4">
        <v>3</v>
      </c>
      <c r="D17" s="4">
        <v>3</v>
      </c>
      <c r="E17" s="4">
        <v>2</v>
      </c>
      <c r="F17" s="4">
        <v>5</v>
      </c>
      <c r="G17" s="4">
        <v>1</v>
      </c>
      <c r="H17" s="4">
        <v>5</v>
      </c>
      <c r="I17" s="4">
        <v>1</v>
      </c>
      <c r="J17" s="4">
        <v>5</v>
      </c>
      <c r="K17" s="4">
        <v>1</v>
      </c>
      <c r="L17" s="4">
        <f t="shared" si="0"/>
        <v>31</v>
      </c>
      <c r="M17" s="10">
        <f t="shared" si="1"/>
        <v>87.5</v>
      </c>
      <c r="N17" s="11" t="str">
        <f t="shared" si="2"/>
        <v>A</v>
      </c>
    </row>
    <row r="18" spans="1:14" x14ac:dyDescent="0.25">
      <c r="A18" s="4" t="s">
        <v>56</v>
      </c>
      <c r="B18" s="4">
        <v>5</v>
      </c>
      <c r="C18" s="4">
        <v>1</v>
      </c>
      <c r="D18" s="4">
        <v>1</v>
      </c>
      <c r="E18" s="4">
        <v>1</v>
      </c>
      <c r="F18" s="4">
        <v>5</v>
      </c>
      <c r="G18" s="4">
        <v>2</v>
      </c>
      <c r="H18" s="4">
        <v>5</v>
      </c>
      <c r="I18" s="4">
        <v>1</v>
      </c>
      <c r="J18" s="4">
        <v>5</v>
      </c>
      <c r="K18" s="4">
        <v>3</v>
      </c>
      <c r="L18" s="4">
        <f t="shared" si="0"/>
        <v>29</v>
      </c>
      <c r="M18" s="10">
        <f t="shared" si="1"/>
        <v>82.5</v>
      </c>
      <c r="N18" s="11" t="str">
        <f t="shared" si="2"/>
        <v>A</v>
      </c>
    </row>
    <row r="19" spans="1:14" x14ac:dyDescent="0.25">
      <c r="A19" s="4" t="s">
        <v>57</v>
      </c>
      <c r="B19" s="4">
        <v>5</v>
      </c>
      <c r="C19" s="4">
        <v>3</v>
      </c>
      <c r="D19" s="4">
        <v>1</v>
      </c>
      <c r="E19" s="4">
        <v>1</v>
      </c>
      <c r="F19" s="4">
        <v>5</v>
      </c>
      <c r="G19" s="4">
        <v>1</v>
      </c>
      <c r="H19" s="4">
        <v>5</v>
      </c>
      <c r="I19" s="4">
        <v>1</v>
      </c>
      <c r="J19" s="4">
        <v>5</v>
      </c>
      <c r="K19" s="4">
        <v>1</v>
      </c>
      <c r="L19" s="4">
        <f t="shared" si="0"/>
        <v>28</v>
      </c>
      <c r="M19" s="10">
        <f t="shared" si="1"/>
        <v>85</v>
      </c>
      <c r="N19" s="11" t="str">
        <f t="shared" si="2"/>
        <v>A</v>
      </c>
    </row>
    <row r="20" spans="1:14" x14ac:dyDescent="0.25">
      <c r="A20" s="4" t="s">
        <v>58</v>
      </c>
      <c r="B20" s="4">
        <v>5</v>
      </c>
      <c r="C20" s="4">
        <v>3</v>
      </c>
      <c r="D20" s="4">
        <v>4</v>
      </c>
      <c r="E20" s="4">
        <v>4</v>
      </c>
      <c r="F20" s="4">
        <v>4</v>
      </c>
      <c r="G20" s="4">
        <v>2</v>
      </c>
      <c r="H20" s="4">
        <v>3</v>
      </c>
      <c r="I20" s="4">
        <v>4</v>
      </c>
      <c r="J20" s="4">
        <v>5</v>
      </c>
      <c r="K20" s="4">
        <v>1</v>
      </c>
      <c r="L20" s="4">
        <f t="shared" si="0"/>
        <v>35</v>
      </c>
      <c r="M20" s="10">
        <f t="shared" si="1"/>
        <v>67.5</v>
      </c>
      <c r="N20" s="11" t="str">
        <f t="shared" si="2"/>
        <v>C</v>
      </c>
    </row>
    <row r="21" spans="1:14" x14ac:dyDescent="0.25">
      <c r="A21" s="4" t="s">
        <v>59</v>
      </c>
      <c r="B21" s="4">
        <v>3</v>
      </c>
      <c r="C21" s="4">
        <v>2</v>
      </c>
      <c r="D21" s="4">
        <v>1</v>
      </c>
      <c r="E21" s="4">
        <v>2</v>
      </c>
      <c r="F21" s="4">
        <v>4</v>
      </c>
      <c r="G21" s="4">
        <v>3</v>
      </c>
      <c r="H21" s="4">
        <v>4</v>
      </c>
      <c r="I21" s="4">
        <v>3</v>
      </c>
      <c r="J21" s="4">
        <v>4</v>
      </c>
      <c r="K21" s="4">
        <v>5</v>
      </c>
      <c r="L21" s="4">
        <f t="shared" si="0"/>
        <v>31</v>
      </c>
      <c r="M21" s="10">
        <f t="shared" si="1"/>
        <v>52.5</v>
      </c>
      <c r="N21" s="11" t="str">
        <f t="shared" si="2"/>
        <v>D</v>
      </c>
    </row>
    <row r="22" spans="1:14" x14ac:dyDescent="0.25">
      <c r="A22" s="4" t="s">
        <v>60</v>
      </c>
      <c r="B22" s="4">
        <v>5</v>
      </c>
      <c r="C22" s="4">
        <v>1</v>
      </c>
      <c r="D22" s="4">
        <v>1</v>
      </c>
      <c r="E22" s="4">
        <v>1</v>
      </c>
      <c r="F22" s="4">
        <v>5</v>
      </c>
      <c r="G22" s="4">
        <v>1</v>
      </c>
      <c r="H22" s="4">
        <v>5</v>
      </c>
      <c r="I22" s="4">
        <v>1</v>
      </c>
      <c r="J22" s="4">
        <v>5</v>
      </c>
      <c r="K22" s="4">
        <v>1</v>
      </c>
      <c r="L22" s="4">
        <f t="shared" si="0"/>
        <v>26</v>
      </c>
      <c r="M22" s="10">
        <f t="shared" si="1"/>
        <v>90</v>
      </c>
      <c r="N22" s="11" t="str">
        <f t="shared" si="2"/>
        <v>A</v>
      </c>
    </row>
    <row r="23" spans="1:14" x14ac:dyDescent="0.25">
      <c r="A23" s="4" t="s">
        <v>61</v>
      </c>
      <c r="B23" s="4">
        <v>5</v>
      </c>
      <c r="C23" s="4">
        <v>1</v>
      </c>
      <c r="D23" s="4">
        <v>2</v>
      </c>
      <c r="E23" s="4">
        <v>1</v>
      </c>
      <c r="F23" s="4">
        <v>5</v>
      </c>
      <c r="G23" s="4">
        <v>1</v>
      </c>
      <c r="H23" s="4">
        <v>5</v>
      </c>
      <c r="I23" s="4">
        <v>1</v>
      </c>
      <c r="J23" s="4">
        <v>5</v>
      </c>
      <c r="K23" s="4">
        <v>1</v>
      </c>
      <c r="L23" s="4">
        <f t="shared" si="0"/>
        <v>27</v>
      </c>
      <c r="M23" s="10">
        <f t="shared" si="1"/>
        <v>92.5</v>
      </c>
      <c r="N23" s="11" t="str">
        <f t="shared" si="2"/>
        <v>A</v>
      </c>
    </row>
    <row r="24" spans="1:14" x14ac:dyDescent="0.25">
      <c r="A24" s="4" t="s">
        <v>62</v>
      </c>
      <c r="B24" s="4">
        <v>4</v>
      </c>
      <c r="C24" s="4">
        <v>2</v>
      </c>
      <c r="D24" s="4">
        <v>4</v>
      </c>
      <c r="E24" s="4">
        <v>4</v>
      </c>
      <c r="F24" s="4">
        <v>3</v>
      </c>
      <c r="G24" s="4">
        <v>3</v>
      </c>
      <c r="H24" s="4">
        <v>4</v>
      </c>
      <c r="I24" s="4">
        <v>2</v>
      </c>
      <c r="J24" s="4">
        <v>4</v>
      </c>
      <c r="K24" s="4">
        <v>1</v>
      </c>
      <c r="L24" s="4">
        <f t="shared" si="0"/>
        <v>31</v>
      </c>
      <c r="M24" s="10">
        <f t="shared" si="1"/>
        <v>67.5</v>
      </c>
      <c r="N24" s="11" t="str">
        <f t="shared" si="2"/>
        <v>C</v>
      </c>
    </row>
    <row r="25" spans="1:14" x14ac:dyDescent="0.25">
      <c r="A25" s="4" t="s">
        <v>63</v>
      </c>
      <c r="B25" s="4">
        <v>4</v>
      </c>
      <c r="C25" s="4">
        <v>2</v>
      </c>
      <c r="D25" s="4">
        <v>4</v>
      </c>
      <c r="E25" s="4">
        <v>4</v>
      </c>
      <c r="F25" s="4">
        <v>3</v>
      </c>
      <c r="G25" s="4">
        <v>3</v>
      </c>
      <c r="H25" s="4">
        <v>5</v>
      </c>
      <c r="I25" s="4">
        <v>1</v>
      </c>
      <c r="J25" s="4">
        <v>3</v>
      </c>
      <c r="K25" s="4">
        <v>1</v>
      </c>
      <c r="L25" s="4">
        <f t="shared" si="0"/>
        <v>30</v>
      </c>
      <c r="M25" s="10">
        <f t="shared" si="1"/>
        <v>70</v>
      </c>
      <c r="N25" s="11" t="str">
        <f t="shared" si="2"/>
        <v>C</v>
      </c>
    </row>
    <row r="26" spans="1:14" x14ac:dyDescent="0.25">
      <c r="A26" s="4" t="s">
        <v>64</v>
      </c>
      <c r="B26" s="4">
        <v>5</v>
      </c>
      <c r="C26" s="4">
        <v>2</v>
      </c>
      <c r="D26" s="4">
        <v>5</v>
      </c>
      <c r="E26" s="4">
        <v>1</v>
      </c>
      <c r="F26" s="4">
        <v>5</v>
      </c>
      <c r="G26" s="4">
        <v>1</v>
      </c>
      <c r="H26" s="4">
        <v>5</v>
      </c>
      <c r="I26" s="4">
        <v>1</v>
      </c>
      <c r="J26" s="4">
        <v>5</v>
      </c>
      <c r="K26" s="4">
        <v>1</v>
      </c>
      <c r="L26" s="4">
        <f t="shared" si="0"/>
        <v>31</v>
      </c>
      <c r="M26" s="10">
        <f t="shared" si="1"/>
        <v>97.5</v>
      </c>
      <c r="N26" s="11" t="str">
        <f t="shared" si="2"/>
        <v>A</v>
      </c>
    </row>
    <row r="27" spans="1:14" x14ac:dyDescent="0.25">
      <c r="A27" s="4" t="s">
        <v>65</v>
      </c>
      <c r="B27" s="4">
        <v>5</v>
      </c>
      <c r="C27" s="4">
        <v>2</v>
      </c>
      <c r="D27" s="4">
        <v>2</v>
      </c>
      <c r="E27" s="4">
        <v>2</v>
      </c>
      <c r="F27" s="4">
        <v>5</v>
      </c>
      <c r="G27" s="4">
        <v>2</v>
      </c>
      <c r="H27" s="4">
        <v>4</v>
      </c>
      <c r="I27" s="4">
        <v>1</v>
      </c>
      <c r="J27" s="4">
        <v>5</v>
      </c>
      <c r="K27" s="4">
        <v>1</v>
      </c>
      <c r="L27" s="4">
        <f t="shared" si="0"/>
        <v>29</v>
      </c>
      <c r="M27" s="10">
        <f t="shared" si="1"/>
        <v>82.5</v>
      </c>
      <c r="N27" s="11" t="str">
        <f t="shared" si="2"/>
        <v>A</v>
      </c>
    </row>
    <row r="28" spans="1:14" x14ac:dyDescent="0.25">
      <c r="A28" s="4" t="s">
        <v>66</v>
      </c>
      <c r="B28" s="4">
        <v>5</v>
      </c>
      <c r="C28" s="4">
        <v>3</v>
      </c>
      <c r="D28" s="4">
        <v>3</v>
      </c>
      <c r="E28" s="4">
        <v>5</v>
      </c>
      <c r="F28" s="4">
        <v>5</v>
      </c>
      <c r="G28" s="4">
        <v>1</v>
      </c>
      <c r="H28" s="4">
        <v>5</v>
      </c>
      <c r="I28" s="4">
        <v>1</v>
      </c>
      <c r="J28" s="4">
        <v>3</v>
      </c>
      <c r="K28" s="4">
        <v>2</v>
      </c>
      <c r="L28" s="4">
        <f t="shared" si="0"/>
        <v>33</v>
      </c>
      <c r="M28" s="10">
        <f t="shared" si="1"/>
        <v>72.5</v>
      </c>
      <c r="N28" s="11" t="str">
        <f t="shared" si="2"/>
        <v>C</v>
      </c>
    </row>
    <row r="29" spans="1:14" x14ac:dyDescent="0.25">
      <c r="A29" s="4" t="s">
        <v>67</v>
      </c>
      <c r="B29" s="4">
        <v>5</v>
      </c>
      <c r="C29" s="4">
        <v>1</v>
      </c>
      <c r="D29" s="4">
        <v>5</v>
      </c>
      <c r="E29" s="4">
        <v>3</v>
      </c>
      <c r="F29" s="4">
        <v>5</v>
      </c>
      <c r="G29" s="4">
        <v>1</v>
      </c>
      <c r="H29" s="4">
        <v>3</v>
      </c>
      <c r="I29" s="4">
        <v>1</v>
      </c>
      <c r="J29" s="4">
        <v>5</v>
      </c>
      <c r="K29" s="4">
        <v>3</v>
      </c>
      <c r="L29" s="4">
        <f t="shared" si="0"/>
        <v>32</v>
      </c>
      <c r="M29" s="10">
        <f t="shared" si="1"/>
        <v>85</v>
      </c>
      <c r="N29" s="11" t="str">
        <f t="shared" si="2"/>
        <v>A</v>
      </c>
    </row>
    <row r="30" spans="1:14" x14ac:dyDescent="0.25">
      <c r="A30" s="4" t="s">
        <v>68</v>
      </c>
      <c r="B30" s="4">
        <v>4</v>
      </c>
      <c r="C30" s="4">
        <v>2</v>
      </c>
      <c r="D30" s="4">
        <v>3</v>
      </c>
      <c r="E30" s="4">
        <v>2</v>
      </c>
      <c r="F30" s="4">
        <v>5</v>
      </c>
      <c r="G30" s="4">
        <v>2</v>
      </c>
      <c r="H30" s="4">
        <v>5</v>
      </c>
      <c r="I30" s="4">
        <v>2</v>
      </c>
      <c r="J30" s="4">
        <v>5</v>
      </c>
      <c r="K30" s="4">
        <v>3</v>
      </c>
      <c r="L30" s="4">
        <f t="shared" si="0"/>
        <v>33</v>
      </c>
      <c r="M30" s="10">
        <f t="shared" si="1"/>
        <v>77.5</v>
      </c>
      <c r="N30" s="11" t="str">
        <f t="shared" si="2"/>
        <v>B</v>
      </c>
    </row>
    <row r="31" spans="1:14" x14ac:dyDescent="0.25">
      <c r="A31" s="4" t="s">
        <v>69</v>
      </c>
      <c r="B31" s="4">
        <v>1</v>
      </c>
      <c r="C31" s="4">
        <v>5</v>
      </c>
      <c r="D31" s="4">
        <v>2</v>
      </c>
      <c r="E31" s="4">
        <v>2</v>
      </c>
      <c r="F31" s="4">
        <v>2</v>
      </c>
      <c r="G31" s="4">
        <v>5</v>
      </c>
      <c r="H31" s="4">
        <v>1</v>
      </c>
      <c r="I31" s="4">
        <v>5</v>
      </c>
      <c r="J31" s="4">
        <v>2</v>
      </c>
      <c r="K31" s="4">
        <v>2</v>
      </c>
      <c r="L31" s="4">
        <f t="shared" si="0"/>
        <v>27</v>
      </c>
      <c r="M31" s="10">
        <f t="shared" si="1"/>
        <v>22.5</v>
      </c>
      <c r="N31" s="11" t="str">
        <f t="shared" si="2"/>
        <v>F</v>
      </c>
    </row>
    <row r="32" spans="1:14" x14ac:dyDescent="0.25">
      <c r="A32" s="4" t="s">
        <v>70</v>
      </c>
      <c r="B32" s="4">
        <v>5</v>
      </c>
      <c r="C32" s="4">
        <v>2</v>
      </c>
      <c r="D32" s="4">
        <v>4</v>
      </c>
      <c r="E32" s="4">
        <v>2</v>
      </c>
      <c r="F32" s="4">
        <v>5</v>
      </c>
      <c r="G32" s="4">
        <v>1</v>
      </c>
      <c r="H32" s="4">
        <v>4</v>
      </c>
      <c r="I32" s="4">
        <v>2</v>
      </c>
      <c r="J32" s="4">
        <v>4</v>
      </c>
      <c r="K32" s="4">
        <v>3</v>
      </c>
      <c r="L32" s="4">
        <f t="shared" si="0"/>
        <v>32</v>
      </c>
      <c r="M32" s="10">
        <f t="shared" si="1"/>
        <v>80</v>
      </c>
      <c r="N32" s="11" t="str">
        <f t="shared" si="2"/>
        <v>A</v>
      </c>
    </row>
    <row r="33" spans="1:14" x14ac:dyDescent="0.25">
      <c r="A33" s="4" t="s">
        <v>71</v>
      </c>
      <c r="B33" s="4">
        <v>5</v>
      </c>
      <c r="C33" s="4">
        <v>2</v>
      </c>
      <c r="D33" s="4">
        <v>2</v>
      </c>
      <c r="E33" s="4">
        <v>2</v>
      </c>
      <c r="F33" s="4">
        <v>5</v>
      </c>
      <c r="G33" s="4">
        <v>2</v>
      </c>
      <c r="H33" s="4">
        <v>5</v>
      </c>
      <c r="I33" s="4">
        <v>2</v>
      </c>
      <c r="J33" s="4">
        <v>5</v>
      </c>
      <c r="K33" s="4">
        <v>3</v>
      </c>
      <c r="L33" s="4">
        <f t="shared" si="0"/>
        <v>33</v>
      </c>
      <c r="M33" s="10">
        <f t="shared" si="1"/>
        <v>77.5</v>
      </c>
      <c r="N33" s="11" t="str">
        <f t="shared" si="2"/>
        <v>B</v>
      </c>
    </row>
    <row r="34" spans="1:14" x14ac:dyDescent="0.25">
      <c r="A34" s="4" t="s">
        <v>72</v>
      </c>
      <c r="B34" s="4">
        <v>4</v>
      </c>
      <c r="C34" s="4">
        <v>4</v>
      </c>
      <c r="D34" s="4">
        <v>3</v>
      </c>
      <c r="E34" s="4">
        <v>5</v>
      </c>
      <c r="F34" s="4">
        <v>4</v>
      </c>
      <c r="G34" s="4">
        <v>3</v>
      </c>
      <c r="H34" s="4">
        <v>5</v>
      </c>
      <c r="I34" s="4">
        <v>3</v>
      </c>
      <c r="J34" s="4">
        <v>3</v>
      </c>
      <c r="K34" s="4">
        <v>3</v>
      </c>
      <c r="L34" s="4">
        <f t="shared" si="0"/>
        <v>37</v>
      </c>
      <c r="M34" s="10">
        <f t="shared" si="1"/>
        <v>52.5</v>
      </c>
      <c r="N34" s="11" t="str">
        <f t="shared" si="2"/>
        <v>D</v>
      </c>
    </row>
    <row r="35" spans="1:14" x14ac:dyDescent="0.25">
      <c r="A35" s="4" t="s">
        <v>73</v>
      </c>
      <c r="B35" s="4">
        <v>5</v>
      </c>
      <c r="C35" s="4">
        <v>2</v>
      </c>
      <c r="D35" s="4">
        <v>1</v>
      </c>
      <c r="E35" s="4">
        <v>1</v>
      </c>
      <c r="F35" s="4">
        <v>5</v>
      </c>
      <c r="G35" s="4">
        <v>1</v>
      </c>
      <c r="H35" s="4">
        <v>5</v>
      </c>
      <c r="I35" s="4">
        <v>1</v>
      </c>
      <c r="J35" s="4">
        <v>5</v>
      </c>
      <c r="K35" s="4">
        <v>1</v>
      </c>
      <c r="L35" s="4">
        <f t="shared" si="0"/>
        <v>27</v>
      </c>
      <c r="M35" s="10">
        <f t="shared" si="1"/>
        <v>87.5</v>
      </c>
      <c r="N35" s="11" t="str">
        <f t="shared" si="2"/>
        <v>A</v>
      </c>
    </row>
    <row r="36" spans="1:14" x14ac:dyDescent="0.25">
      <c r="A36" s="4" t="s">
        <v>74</v>
      </c>
      <c r="B36" s="4">
        <v>4</v>
      </c>
      <c r="C36" s="4">
        <v>3</v>
      </c>
      <c r="D36" s="4">
        <v>3</v>
      </c>
      <c r="E36" s="4">
        <v>4</v>
      </c>
      <c r="F36" s="4">
        <v>3</v>
      </c>
      <c r="G36" s="4">
        <v>2</v>
      </c>
      <c r="H36" s="4">
        <v>5</v>
      </c>
      <c r="I36" s="4">
        <v>2</v>
      </c>
      <c r="J36" s="4">
        <v>4</v>
      </c>
      <c r="K36" s="4">
        <v>4</v>
      </c>
      <c r="L36" s="4">
        <f t="shared" si="0"/>
        <v>34</v>
      </c>
      <c r="M36" s="10">
        <f t="shared" si="1"/>
        <v>60</v>
      </c>
      <c r="N36" s="11" t="str">
        <f t="shared" si="2"/>
        <v>D</v>
      </c>
    </row>
    <row r="37" spans="1:14" x14ac:dyDescent="0.25">
      <c r="A37" s="4" t="s">
        <v>75</v>
      </c>
      <c r="B37" s="4">
        <v>5</v>
      </c>
      <c r="C37" s="4">
        <v>2</v>
      </c>
      <c r="D37" s="4">
        <v>5</v>
      </c>
      <c r="E37" s="4">
        <v>1</v>
      </c>
      <c r="F37" s="4">
        <v>5</v>
      </c>
      <c r="G37" s="4">
        <v>2</v>
      </c>
      <c r="H37" s="4">
        <v>3</v>
      </c>
      <c r="I37" s="4">
        <v>3</v>
      </c>
      <c r="J37" s="4">
        <v>2</v>
      </c>
      <c r="K37" s="4">
        <v>3</v>
      </c>
      <c r="L37" s="4">
        <f t="shared" si="0"/>
        <v>31</v>
      </c>
      <c r="M37" s="10">
        <f t="shared" si="1"/>
        <v>72.5</v>
      </c>
      <c r="N37" s="11" t="str">
        <f t="shared" si="2"/>
        <v>C</v>
      </c>
    </row>
    <row r="38" spans="1:14" x14ac:dyDescent="0.25">
      <c r="A38" s="4" t="s">
        <v>76</v>
      </c>
      <c r="B38" s="4">
        <v>4</v>
      </c>
      <c r="C38" s="4">
        <v>2</v>
      </c>
      <c r="D38" s="4">
        <v>2</v>
      </c>
      <c r="E38" s="4">
        <v>2</v>
      </c>
      <c r="F38" s="4">
        <v>4</v>
      </c>
      <c r="G38" s="4">
        <v>2</v>
      </c>
      <c r="H38" s="4">
        <v>4</v>
      </c>
      <c r="I38" s="4">
        <v>2</v>
      </c>
      <c r="J38" s="4">
        <v>3</v>
      </c>
      <c r="K38" s="4">
        <v>3</v>
      </c>
      <c r="L38" s="4">
        <f t="shared" si="0"/>
        <v>28</v>
      </c>
      <c r="M38" s="10">
        <f t="shared" si="1"/>
        <v>65</v>
      </c>
      <c r="N38" s="11" t="str">
        <f t="shared" si="2"/>
        <v>C</v>
      </c>
    </row>
    <row r="39" spans="1:14" x14ac:dyDescent="0.25">
      <c r="A39" s="4" t="s">
        <v>77</v>
      </c>
      <c r="B39" s="4">
        <v>3</v>
      </c>
      <c r="C39" s="4">
        <v>2</v>
      </c>
      <c r="D39" s="4">
        <v>3</v>
      </c>
      <c r="E39" s="4">
        <v>2</v>
      </c>
      <c r="F39" s="4">
        <v>4</v>
      </c>
      <c r="G39" s="4">
        <v>3</v>
      </c>
      <c r="H39" s="4">
        <v>5</v>
      </c>
      <c r="I39" s="4">
        <v>3</v>
      </c>
      <c r="J39" s="4">
        <v>2</v>
      </c>
      <c r="K39" s="4">
        <v>3</v>
      </c>
      <c r="L39" s="4">
        <f t="shared" si="0"/>
        <v>30</v>
      </c>
      <c r="M39" s="10">
        <f t="shared" si="1"/>
        <v>60</v>
      </c>
      <c r="N39" s="11" t="str">
        <f t="shared" si="2"/>
        <v>D</v>
      </c>
    </row>
    <row r="40" spans="1:14" x14ac:dyDescent="0.25">
      <c r="A40" s="4" t="s">
        <v>78</v>
      </c>
      <c r="B40" s="4">
        <v>2</v>
      </c>
      <c r="C40" s="4">
        <v>2</v>
      </c>
      <c r="D40" s="4">
        <v>3</v>
      </c>
      <c r="E40" s="4">
        <v>3</v>
      </c>
      <c r="F40" s="4">
        <v>3</v>
      </c>
      <c r="G40" s="4">
        <v>4</v>
      </c>
      <c r="H40" s="4">
        <v>4</v>
      </c>
      <c r="I40" s="4">
        <v>4</v>
      </c>
      <c r="J40" s="4">
        <v>3</v>
      </c>
      <c r="K40" s="4">
        <v>4</v>
      </c>
      <c r="L40" s="4">
        <f t="shared" si="0"/>
        <v>32</v>
      </c>
      <c r="M40" s="10">
        <f t="shared" si="1"/>
        <v>45</v>
      </c>
      <c r="N40" s="11" t="str">
        <f t="shared" si="2"/>
        <v>F</v>
      </c>
    </row>
    <row r="41" spans="1:14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/>
      <c r="N41" s="24"/>
    </row>
    <row r="42" spans="1:14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3"/>
      <c r="N42" s="24"/>
    </row>
    <row r="43" spans="1:14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3"/>
      <c r="N43" s="24"/>
    </row>
    <row r="44" spans="1:14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4"/>
    </row>
    <row r="45" spans="1:14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24"/>
    </row>
    <row r="46" spans="1:14" x14ac:dyDescent="0.25">
      <c r="A46" s="22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2"/>
      <c r="M46" s="23"/>
      <c r="N46" s="24"/>
    </row>
    <row r="47" spans="1:14" x14ac:dyDescent="0.25">
      <c r="A47" s="22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2"/>
      <c r="M47" s="23"/>
      <c r="N47" s="24"/>
    </row>
  </sheetData>
  <phoneticPr fontId="5" type="noConversion"/>
  <conditionalFormatting sqref="B2">
    <cfRule type="cellIs" dxfId="19" priority="6" operator="between">
      <formula>0</formula>
      <formula>51.6</formula>
    </cfRule>
    <cfRule type="cellIs" dxfId="18" priority="7" operator="between">
      <formula>51.7</formula>
      <formula>62.6</formula>
    </cfRule>
    <cfRule type="cellIs" dxfId="17" priority="8" operator="between">
      <formula>62.7</formula>
      <formula>72.5</formula>
    </cfRule>
    <cfRule type="cellIs" dxfId="16" priority="9" operator="between">
      <formula>72.6</formula>
      <formula>78.8</formula>
    </cfRule>
    <cfRule type="cellIs" dxfId="15" priority="10" operator="greaterThanOrEqual">
      <formula>78.9</formula>
    </cfRule>
  </conditionalFormatting>
  <conditionalFormatting sqref="B3">
    <cfRule type="containsText" dxfId="14" priority="1" operator="containsText" text="F">
      <formula>NOT(ISERROR(SEARCH("F",B3)))</formula>
    </cfRule>
    <cfRule type="containsText" dxfId="13" priority="2" operator="containsText" text="D">
      <formula>NOT(ISERROR(SEARCH("D",B3)))</formula>
    </cfRule>
    <cfRule type="containsText" dxfId="12" priority="3" operator="containsText" text="C">
      <formula>NOT(ISERROR(SEARCH("C",B3)))</formula>
    </cfRule>
    <cfRule type="containsText" dxfId="11" priority="4" operator="containsText" text="B">
      <formula>NOT(ISERROR(SEARCH("B",B3)))</formula>
    </cfRule>
    <cfRule type="containsText" dxfId="10" priority="5" operator="containsText" text="A">
      <formula>NOT(ISERROR(SEARCH("A",B3)))</formula>
    </cfRule>
  </conditionalFormatting>
  <conditionalFormatting sqref="M7:M47">
    <cfRule type="cellIs" dxfId="9" priority="23" operator="between">
      <formula>51.7</formula>
      <formula>1</formula>
    </cfRule>
    <cfRule type="cellIs" dxfId="8" priority="24" operator="between">
      <formula>51.7</formula>
      <formula>62.6</formula>
    </cfRule>
    <cfRule type="cellIs" dxfId="7" priority="25" operator="between">
      <formula>62.7</formula>
      <formula>72.5</formula>
    </cfRule>
    <cfRule type="cellIs" dxfId="6" priority="26" operator="between">
      <formula>70.6</formula>
      <formula>78.8</formula>
    </cfRule>
    <cfRule type="cellIs" dxfId="5" priority="27" operator="greaterThan">
      <formula>78.9</formula>
    </cfRule>
  </conditionalFormatting>
  <conditionalFormatting sqref="N7:N47">
    <cfRule type="containsText" dxfId="4" priority="17" operator="containsText" text="F">
      <formula>NOT(ISERROR(SEARCH("F",N7)))</formula>
    </cfRule>
    <cfRule type="containsText" dxfId="3" priority="19" operator="containsText" text="D">
      <formula>NOT(ISERROR(SEARCH("D",N7)))</formula>
    </cfRule>
    <cfRule type="containsText" dxfId="2" priority="20" operator="containsText" text="C">
      <formula>NOT(ISERROR(SEARCH("C",N7)))</formula>
    </cfRule>
    <cfRule type="containsText" dxfId="1" priority="21" operator="containsText" text="B">
      <formula>NOT(ISERROR(SEARCH("B",N7)))</formula>
    </cfRule>
    <cfRule type="containsText" dxfId="0" priority="22" operator="containsText" text="A">
      <formula>NOT(ISERROR(SEARCH("A",N7)))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J15" sqref="J15"/>
    </sheetView>
  </sheetViews>
  <sheetFormatPr baseColWidth="10" defaultColWidth="8.85546875" defaultRowHeight="25.15" customHeight="1" x14ac:dyDescent="0.25"/>
  <cols>
    <col min="1" max="1" width="3.5703125" style="20" bestFit="1" customWidth="1"/>
    <col min="2" max="2" width="80" style="20" bestFit="1" customWidth="1"/>
    <col min="3" max="3" width="41.28515625" style="20" bestFit="1" customWidth="1"/>
    <col min="4" max="16384" width="8.85546875" style="20"/>
  </cols>
  <sheetData>
    <row r="1" spans="1:3" ht="25.15" customHeight="1" x14ac:dyDescent="0.25">
      <c r="A1" s="7" t="s">
        <v>0</v>
      </c>
      <c r="B1" s="7" t="s">
        <v>1</v>
      </c>
    </row>
    <row r="2" spans="1:3" ht="25.15" customHeight="1" x14ac:dyDescent="0.25">
      <c r="A2" s="5">
        <v>1</v>
      </c>
      <c r="B2" s="6" t="s">
        <v>2</v>
      </c>
      <c r="C2" s="16" t="s">
        <v>36</v>
      </c>
    </row>
    <row r="3" spans="1:3" ht="25.15" customHeight="1" x14ac:dyDescent="0.25">
      <c r="A3" s="17">
        <v>2</v>
      </c>
      <c r="B3" s="18" t="s">
        <v>3</v>
      </c>
      <c r="C3" s="19" t="s">
        <v>35</v>
      </c>
    </row>
    <row r="4" spans="1:3" ht="25.15" customHeight="1" x14ac:dyDescent="0.25">
      <c r="A4" s="5">
        <v>3</v>
      </c>
      <c r="B4" s="6" t="s">
        <v>4</v>
      </c>
      <c r="C4" s="16" t="s">
        <v>37</v>
      </c>
    </row>
    <row r="5" spans="1:3" ht="25.15" customHeight="1" x14ac:dyDescent="0.25">
      <c r="A5" s="17">
        <v>4</v>
      </c>
      <c r="B5" s="18" t="s">
        <v>5</v>
      </c>
      <c r="C5" s="19" t="s">
        <v>38</v>
      </c>
    </row>
    <row r="6" spans="1:3" ht="25.15" customHeight="1" x14ac:dyDescent="0.25">
      <c r="A6" s="5">
        <v>5</v>
      </c>
      <c r="B6" s="6" t="s">
        <v>6</v>
      </c>
      <c r="C6" s="16" t="s">
        <v>39</v>
      </c>
    </row>
    <row r="7" spans="1:3" ht="25.15" customHeight="1" x14ac:dyDescent="0.25">
      <c r="A7" s="17">
        <v>6</v>
      </c>
      <c r="B7" s="18" t="s">
        <v>7</v>
      </c>
      <c r="C7" s="19" t="s">
        <v>40</v>
      </c>
    </row>
    <row r="8" spans="1:3" ht="25.15" customHeight="1" x14ac:dyDescent="0.25">
      <c r="A8" s="5">
        <v>7</v>
      </c>
      <c r="B8" s="6" t="s">
        <v>8</v>
      </c>
      <c r="C8" s="16" t="s">
        <v>46</v>
      </c>
    </row>
    <row r="9" spans="1:3" ht="25.15" customHeight="1" x14ac:dyDescent="0.25">
      <c r="A9" s="17">
        <v>8</v>
      </c>
      <c r="B9" s="18" t="s">
        <v>9</v>
      </c>
      <c r="C9" s="19" t="s">
        <v>41</v>
      </c>
    </row>
    <row r="10" spans="1:3" ht="25.15" customHeight="1" x14ac:dyDescent="0.25">
      <c r="A10" s="5">
        <v>9</v>
      </c>
      <c r="B10" s="6" t="s">
        <v>10</v>
      </c>
      <c r="C10" s="16" t="s">
        <v>42</v>
      </c>
    </row>
    <row r="11" spans="1:3" ht="25.15" customHeight="1" x14ac:dyDescent="0.25">
      <c r="A11" s="17">
        <v>10</v>
      </c>
      <c r="B11" s="18" t="s">
        <v>11</v>
      </c>
      <c r="C11" s="19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AE5A-BE7D-4C3E-BD68-C77A9699A1CF}">
  <dimension ref="A1:B9"/>
  <sheetViews>
    <sheetView workbookViewId="0">
      <selection activeCell="A10" sqref="A10"/>
    </sheetView>
  </sheetViews>
  <sheetFormatPr baseColWidth="10" defaultRowHeight="15" x14ac:dyDescent="0.25"/>
  <sheetData>
    <row r="1" spans="1:2" ht="30" x14ac:dyDescent="0.25">
      <c r="A1" s="2" t="s">
        <v>12</v>
      </c>
      <c r="B1" s="2" t="s">
        <v>13</v>
      </c>
    </row>
    <row r="2" spans="1:2" ht="38.25" x14ac:dyDescent="0.25">
      <c r="A2" s="3" t="s">
        <v>14</v>
      </c>
      <c r="B2" s="1">
        <v>1</v>
      </c>
    </row>
    <row r="3" spans="1:2" ht="25.5" x14ac:dyDescent="0.25">
      <c r="A3" s="3" t="s">
        <v>15</v>
      </c>
      <c r="B3" s="1">
        <v>2</v>
      </c>
    </row>
    <row r="4" spans="1:2" x14ac:dyDescent="0.25">
      <c r="A4" s="3" t="s">
        <v>16</v>
      </c>
      <c r="B4" s="1">
        <v>3</v>
      </c>
    </row>
    <row r="5" spans="1:2" x14ac:dyDescent="0.25">
      <c r="A5" s="3" t="s">
        <v>17</v>
      </c>
      <c r="B5" s="1">
        <v>4</v>
      </c>
    </row>
    <row r="6" spans="1:2" ht="25.5" x14ac:dyDescent="0.25">
      <c r="A6" s="3" t="s">
        <v>18</v>
      </c>
      <c r="B6" s="1">
        <v>5</v>
      </c>
    </row>
    <row r="9" spans="1:2" ht="38.25" x14ac:dyDescent="0.25">
      <c r="A9" s="3" t="s">
        <v>19</v>
      </c>
      <c r="B9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Resultados</vt:lpstr>
      <vt:lpstr>SUS</vt:lpstr>
      <vt:lpstr>Escala</vt:lpstr>
      <vt:lpstr>SUS!_Hlk147391021</vt:lpstr>
      <vt:lpstr>Escala!_Hlk147391225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SamuSofi</dc:creator>
  <cp:lastModifiedBy>Usuario</cp:lastModifiedBy>
  <dcterms:created xsi:type="dcterms:W3CDTF">2015-06-05T18:19:34Z</dcterms:created>
  <dcterms:modified xsi:type="dcterms:W3CDTF">2026-04-25T05:40:52Z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287397eb-0032-45e1-8b3c-86d6f1a5ff1e</vt:lpwstr>
  </property>
</Properties>
</file>