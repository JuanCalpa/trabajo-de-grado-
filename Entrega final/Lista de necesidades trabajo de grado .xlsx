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definedName hidden="1" localSheetId="0" name="_xlnm._FilterDatabase">'Hoja 1'!$A$2:$F$13</definedName>
  </definedNames>
  <calcPr/>
</workbook>
</file>

<file path=xl/sharedStrings.xml><?xml version="1.0" encoding="utf-8"?>
<sst xmlns="http://schemas.openxmlformats.org/spreadsheetml/2006/main" count="35" uniqueCount="24">
  <si>
    <t>No</t>
  </si>
  <si>
    <t>Descripción de la Historia de Usuario</t>
  </si>
  <si>
    <t>Valor que agrega al proceso del cliente [1-10]</t>
  </si>
  <si>
    <t>Urgencia con la que se debe desarrollar [1-10]</t>
  </si>
  <si>
    <t>Prioridad</t>
  </si>
  <si>
    <t>Complejidad</t>
  </si>
  <si>
    <t>Como usuario invitado de la plataforma, quiero ver todos los contaminantes del aire en una gráfica medidor-termómetro que se esté actualizando y que sea amigable y de fácil entendimiento, para que toda la comunidad universitaria pueda estar enterada de la calidad del aire y comprenda fácilmente sus niveles de contaminación.</t>
  </si>
  <si>
    <t>media</t>
  </si>
  <si>
    <t>complejidad</t>
  </si>
  <si>
    <t xml:space="preserve">Como usuario invitado de la plataforma, quiero ver un dashboard de cada uno de los factores contaminantes que son tenidos en cuenta al evaluar la calidad del aire, para conocer más a detalle qué contaminantes influyen en la calidad y cuales son sus niveles.
</t>
  </si>
  <si>
    <t>7hs</t>
  </si>
  <si>
    <t>Como investigador, quiero ver una tarjeta mensual (tipo pico y placa) para ver los días con menor y mayor contaminación y poder analizar cuales son los periodos más contaminados.</t>
  </si>
  <si>
    <t>muy alta</t>
  </si>
  <si>
    <t>alta</t>
  </si>
  <si>
    <t>14hs</t>
  </si>
  <si>
    <t>Como investigador, quiero descargar un archivo en el que se encuentren todas las variables sin procesar recolectadas en un día específico, para poder analizarlas con herramientas externas.</t>
  </si>
  <si>
    <t>28hs</t>
  </si>
  <si>
    <t>Como usuario invitado de la plataforma, quiero ver una ventana en donde se especifique la importancia y el impacto de cada variable en la calidad del aire, para poder entender su relevancia en la calidad del aire según la resolución 2254 del 2017</t>
  </si>
  <si>
    <t>Como investigador quiero generar un reporte con indicadores clave (generar promedio de todas las variables durante un día y compararlas con la norma de la resolución 2254 de 2017), para obtener un resumen conciso de la calidad del aire y sus factores contaminantes.</t>
  </si>
  <si>
    <t>Como investigador quiero ver el promedio, para describir el comportamiento de los contaminantes en un dia</t>
  </si>
  <si>
    <t>Como investigador quiero ver la desviacion estandar para describir el comportamiento de los contaminanters en un intervalo de tiempo</t>
  </si>
  <si>
    <t>Como investigador quiero ver un diagrama de cajas y bigotes para describir el comportamiento de los cotnamiantes en un intervalo de tiempo</t>
  </si>
  <si>
    <t>Como investigador quiero ver por cuartiles de una serie de datos para describir el comportamiento de los contamianntes en un intervalo de tiempo</t>
  </si>
  <si>
    <t>Como investigador, quiero mediante un reporte numérico comparar la calidad del aire de dos días seleccionados manualmente, para identificar diferencias entre sus niveles de contaminación.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</si>
</sst>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Arial"/>
    </font>
    <font>
      <b/>
      <sz val="11.0"/>
      <color theme="1"/>
      <name val="Arial"/>
    </font>
    <font>
      <sz val="11.0"/>
      <color theme="1"/>
      <name val="Calibri"/>
    </font>
    <font>
      <color theme="1"/>
      <name val="Arial"/>
      <scheme val="minor"/>
    </font>
    <font/>
  </fonts>
  <fills count="7">
    <fill>
      <patternFill patternType="none"/>
    </fill>
    <fill>
      <patternFill patternType="lightGray"/>
    </fill>
    <fill>
      <patternFill patternType="solid">
        <fgColor rgb="FFF7CAAC"/>
        <bgColor rgb="FFF7CAAC"/>
      </patternFill>
    </fill>
    <fill>
      <patternFill patternType="solid">
        <fgColor rgb="FFDADADA"/>
        <bgColor rgb="FFDADADA"/>
      </patternFill>
    </fill>
    <fill>
      <patternFill patternType="solid">
        <fgColor rgb="FF9CC2E5"/>
        <bgColor rgb="FF9CC2E5"/>
      </patternFill>
    </fill>
    <fill>
      <patternFill patternType="solid">
        <fgColor rgb="FFD9EAD3"/>
        <bgColor rgb="FFD9EAD3"/>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horizontal="center"/>
    </xf>
    <xf borderId="1" fillId="2" fontId="1" numFmtId="0" xfId="0" applyAlignment="1" applyBorder="1" applyFill="1" applyFont="1">
      <alignment horizontal="center" shrinkToFit="0" wrapText="1"/>
    </xf>
    <xf borderId="1" fillId="3" fontId="1" numFmtId="0" xfId="0" applyAlignment="1" applyBorder="1" applyFill="1" applyFont="1">
      <alignment horizontal="center" shrinkToFit="0" wrapText="1"/>
    </xf>
    <xf borderId="1" fillId="4" fontId="2" numFmtId="0" xfId="0" applyAlignment="1" applyBorder="1" applyFill="1" applyFont="1">
      <alignment horizontal="center" shrinkToFit="0" wrapText="1"/>
    </xf>
    <xf borderId="1" fillId="5" fontId="3" numFmtId="0" xfId="0" applyAlignment="1" applyBorder="1" applyFill="1" applyFont="1">
      <alignment readingOrder="0"/>
    </xf>
    <xf borderId="1" fillId="5" fontId="1" numFmtId="0" xfId="0" applyAlignment="1" applyBorder="1" applyFont="1">
      <alignment readingOrder="0" shrinkToFit="0" vertical="top" wrapText="1"/>
    </xf>
    <xf borderId="1" fillId="0" fontId="3" numFmtId="0" xfId="0" applyAlignment="1" applyBorder="1" applyFont="1">
      <alignment readingOrder="0" vertical="bottom"/>
    </xf>
    <xf borderId="1" fillId="0" fontId="1" numFmtId="0" xfId="0" applyAlignment="1" applyBorder="1" applyFont="1">
      <alignment horizontal="right" shrinkToFit="0" wrapText="1"/>
    </xf>
    <xf borderId="1" fillId="0" fontId="4" numFmtId="0" xfId="0" applyAlignment="1" applyBorder="1" applyFont="1">
      <alignment readingOrder="0"/>
    </xf>
    <xf borderId="0" fillId="0" fontId="4" numFmtId="0" xfId="0" applyAlignment="1" applyFont="1">
      <alignment readingOrder="0"/>
    </xf>
    <xf borderId="2" fillId="0" fontId="4" numFmtId="0" xfId="0" applyAlignment="1" applyBorder="1" applyFont="1">
      <alignment horizontal="center" readingOrder="0" vertical="center"/>
    </xf>
    <xf borderId="3" fillId="0" fontId="5" numFmtId="0" xfId="0" applyBorder="1" applyFont="1"/>
    <xf borderId="1" fillId="5" fontId="1" numFmtId="0" xfId="0" applyAlignment="1" applyBorder="1" applyFont="1">
      <alignment readingOrder="0" vertical="top"/>
    </xf>
    <xf borderId="1" fillId="6" fontId="3" numFmtId="0" xfId="0" applyAlignment="1" applyBorder="1" applyFill="1" applyFont="1">
      <alignment readingOrder="0"/>
    </xf>
    <xf borderId="1" fillId="6" fontId="1" numFmtId="0" xfId="0" applyAlignment="1" applyBorder="1" applyFont="1">
      <alignment readingOrder="0" vertical="top"/>
    </xf>
    <xf borderId="4" fillId="6" fontId="3" numFmtId="0" xfId="0" applyAlignment="1" applyBorder="1" applyFont="1">
      <alignment readingOrder="0"/>
    </xf>
    <xf borderId="1" fillId="6" fontId="1" numFmtId="0" xfId="0" applyAlignment="1" applyBorder="1" applyFont="1">
      <alignment readingOrder="0" shrinkToFit="0" vertical="top" wrapText="1"/>
    </xf>
    <xf borderId="0" fillId="0" fontId="3" numFmtId="0" xfId="0" applyFont="1"/>
    <xf borderId="0" fillId="0" fontId="3" numFmtId="0" xfId="0" applyAlignment="1" applyFont="1">
      <alignment vertical="top"/>
    </xf>
    <xf borderId="0" fillId="0" fontId="3" numFmtId="0" xfId="0" applyAlignment="1" applyFont="1">
      <alignment readingOrder="0" vertical="bottom"/>
    </xf>
    <xf borderId="0" fillId="0" fontId="1" numFmtId="0" xfId="0" applyAlignment="1" applyFont="1">
      <alignment horizontal="right" shrinkToFit="0"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63"/>
    <col customWidth="1" min="6" max="6" width="15.5"/>
  </cols>
  <sheetData>
    <row r="2">
      <c r="A2" s="1" t="s">
        <v>0</v>
      </c>
      <c r="B2" s="2" t="s">
        <v>1</v>
      </c>
      <c r="C2" s="3" t="s">
        <v>2</v>
      </c>
      <c r="D2" s="4" t="s">
        <v>3</v>
      </c>
      <c r="E2" s="5" t="s">
        <v>4</v>
      </c>
      <c r="F2" s="5" t="s">
        <v>5</v>
      </c>
    </row>
    <row r="3">
      <c r="A3" s="6">
        <v>4.0</v>
      </c>
      <c r="B3" s="7" t="s">
        <v>6</v>
      </c>
      <c r="C3" s="8">
        <v>9.0</v>
      </c>
      <c r="D3" s="8">
        <v>10.0</v>
      </c>
      <c r="E3" s="9">
        <f t="shared" ref="E3:E13" si="1">C3*D3</f>
        <v>90</v>
      </c>
      <c r="F3" s="8" t="s">
        <v>7</v>
      </c>
      <c r="G3" s="10">
        <v>7.0</v>
      </c>
      <c r="H3" s="10">
        <f>G3</f>
        <v>7</v>
      </c>
      <c r="I3" s="11"/>
      <c r="J3" s="12" t="s">
        <v>8</v>
      </c>
      <c r="K3" s="13"/>
    </row>
    <row r="4">
      <c r="A4" s="6">
        <v>1.0</v>
      </c>
      <c r="B4" s="7" t="s">
        <v>9</v>
      </c>
      <c r="C4" s="8">
        <v>8.0</v>
      </c>
      <c r="D4" s="8">
        <v>9.0</v>
      </c>
      <c r="E4" s="9">
        <f t="shared" si="1"/>
        <v>72</v>
      </c>
      <c r="F4" s="8" t="s">
        <v>7</v>
      </c>
      <c r="G4" s="10">
        <v>7.0</v>
      </c>
      <c r="H4" s="10">
        <f t="shared" ref="H4:H13" si="2">H3+G4</f>
        <v>14</v>
      </c>
      <c r="I4" s="11"/>
      <c r="J4" s="10" t="s">
        <v>7</v>
      </c>
      <c r="K4" s="10" t="s">
        <v>10</v>
      </c>
    </row>
    <row r="5">
      <c r="A5" s="6">
        <v>6.0</v>
      </c>
      <c r="B5" s="7" t="s">
        <v>11</v>
      </c>
      <c r="C5" s="8">
        <v>10.0</v>
      </c>
      <c r="D5" s="8">
        <v>6.0</v>
      </c>
      <c r="E5" s="9">
        <f t="shared" si="1"/>
        <v>60</v>
      </c>
      <c r="F5" s="8" t="s">
        <v>12</v>
      </c>
      <c r="G5" s="10">
        <v>28.0</v>
      </c>
      <c r="H5" s="10">
        <f t="shared" si="2"/>
        <v>42</v>
      </c>
      <c r="I5" s="11"/>
      <c r="J5" s="10" t="s">
        <v>13</v>
      </c>
      <c r="K5" s="10" t="s">
        <v>14</v>
      </c>
    </row>
    <row r="6">
      <c r="A6" s="6">
        <v>2.0</v>
      </c>
      <c r="B6" s="7" t="s">
        <v>15</v>
      </c>
      <c r="C6" s="8">
        <v>8.0</v>
      </c>
      <c r="D6" s="8">
        <v>7.0</v>
      </c>
      <c r="E6" s="9">
        <f t="shared" si="1"/>
        <v>56</v>
      </c>
      <c r="F6" s="8" t="s">
        <v>7</v>
      </c>
      <c r="G6" s="10">
        <v>7.0</v>
      </c>
      <c r="H6" s="10">
        <f t="shared" si="2"/>
        <v>49</v>
      </c>
      <c r="I6" s="11"/>
      <c r="J6" s="10" t="s">
        <v>12</v>
      </c>
      <c r="K6" s="10" t="s">
        <v>16</v>
      </c>
    </row>
    <row r="7">
      <c r="A7" s="6">
        <v>3.0</v>
      </c>
      <c r="B7" s="7" t="s">
        <v>17</v>
      </c>
      <c r="C7" s="8">
        <v>7.0</v>
      </c>
      <c r="D7" s="8">
        <v>8.0</v>
      </c>
      <c r="E7" s="9">
        <f t="shared" si="1"/>
        <v>56</v>
      </c>
      <c r="F7" s="8" t="s">
        <v>7</v>
      </c>
      <c r="G7" s="10">
        <v>7.0</v>
      </c>
      <c r="H7" s="10">
        <f t="shared" si="2"/>
        <v>56</v>
      </c>
      <c r="I7" s="11"/>
    </row>
    <row r="8">
      <c r="A8" s="6">
        <v>5.0</v>
      </c>
      <c r="B8" s="7" t="s">
        <v>18</v>
      </c>
      <c r="C8" s="8">
        <v>8.0</v>
      </c>
      <c r="D8" s="8">
        <v>7.0</v>
      </c>
      <c r="E8" s="9">
        <f t="shared" si="1"/>
        <v>56</v>
      </c>
      <c r="F8" s="8" t="s">
        <v>13</v>
      </c>
      <c r="G8" s="10">
        <v>14.0</v>
      </c>
      <c r="H8" s="10">
        <f t="shared" si="2"/>
        <v>70</v>
      </c>
      <c r="I8" s="11"/>
    </row>
    <row r="9">
      <c r="A9" s="6">
        <v>8.0</v>
      </c>
      <c r="B9" s="14" t="s">
        <v>19</v>
      </c>
      <c r="C9" s="8">
        <v>7.0</v>
      </c>
      <c r="D9" s="8">
        <v>7.0</v>
      </c>
      <c r="E9" s="9">
        <f t="shared" si="1"/>
        <v>49</v>
      </c>
      <c r="F9" s="8" t="s">
        <v>7</v>
      </c>
      <c r="G9" s="10">
        <v>7.0</v>
      </c>
      <c r="H9" s="10">
        <f t="shared" si="2"/>
        <v>77</v>
      </c>
      <c r="I9" s="11"/>
    </row>
    <row r="10">
      <c r="A10" s="6">
        <v>9.0</v>
      </c>
      <c r="B10" s="14" t="s">
        <v>20</v>
      </c>
      <c r="C10" s="8">
        <v>7.0</v>
      </c>
      <c r="D10" s="8">
        <v>7.0</v>
      </c>
      <c r="E10" s="9">
        <f t="shared" si="1"/>
        <v>49</v>
      </c>
      <c r="F10" s="8" t="s">
        <v>7</v>
      </c>
      <c r="G10" s="10">
        <v>7.0</v>
      </c>
      <c r="H10" s="10">
        <f t="shared" si="2"/>
        <v>84</v>
      </c>
      <c r="I10" s="11"/>
    </row>
    <row r="11">
      <c r="A11" s="15">
        <v>10.0</v>
      </c>
      <c r="B11" s="16" t="s">
        <v>21</v>
      </c>
      <c r="C11" s="8">
        <v>7.0</v>
      </c>
      <c r="D11" s="8">
        <v>7.0</v>
      </c>
      <c r="E11" s="9">
        <f t="shared" si="1"/>
        <v>49</v>
      </c>
      <c r="F11" s="8" t="s">
        <v>7</v>
      </c>
      <c r="G11" s="10">
        <v>7.0</v>
      </c>
      <c r="H11" s="10">
        <f t="shared" si="2"/>
        <v>91</v>
      </c>
      <c r="I11" s="11"/>
    </row>
    <row r="12">
      <c r="A12" s="15">
        <v>11.0</v>
      </c>
      <c r="B12" s="16" t="s">
        <v>22</v>
      </c>
      <c r="C12" s="8">
        <v>7.0</v>
      </c>
      <c r="D12" s="8">
        <v>7.0</v>
      </c>
      <c r="E12" s="9">
        <f t="shared" si="1"/>
        <v>49</v>
      </c>
      <c r="F12" s="8" t="s">
        <v>7</v>
      </c>
      <c r="G12" s="10">
        <v>7.0</v>
      </c>
      <c r="H12" s="10">
        <f t="shared" si="2"/>
        <v>98</v>
      </c>
      <c r="I12" s="11"/>
    </row>
    <row r="13" ht="41.25" customHeight="1">
      <c r="A13" s="17">
        <v>7.0</v>
      </c>
      <c r="B13" s="18" t="s">
        <v>23</v>
      </c>
      <c r="C13" s="8">
        <v>8.0</v>
      </c>
      <c r="D13" s="8">
        <v>6.0</v>
      </c>
      <c r="E13" s="9">
        <f t="shared" si="1"/>
        <v>48</v>
      </c>
      <c r="F13" s="8" t="s">
        <v>13</v>
      </c>
      <c r="G13" s="10">
        <v>14.0</v>
      </c>
      <c r="H13" s="10">
        <f t="shared" si="2"/>
        <v>112</v>
      </c>
      <c r="I13" s="11"/>
    </row>
    <row r="14">
      <c r="A14" s="19" t="str">
        <f t="shared" ref="A14:A20" si="3">IF(ISBLANK(B14)=FALSE,A13+1,"")</f>
        <v/>
      </c>
      <c r="B14" s="20"/>
      <c r="C14" s="21"/>
      <c r="D14" s="21"/>
      <c r="E14" s="22"/>
      <c r="F14" s="21"/>
    </row>
    <row r="15">
      <c r="A15" s="19" t="str">
        <f t="shared" si="3"/>
        <v/>
      </c>
      <c r="B15" s="20"/>
      <c r="C15" s="23"/>
      <c r="D15" s="21"/>
      <c r="E15" s="22"/>
      <c r="F15" s="23"/>
    </row>
    <row r="16">
      <c r="A16" s="19" t="str">
        <f t="shared" si="3"/>
        <v/>
      </c>
      <c r="B16" s="20"/>
      <c r="C16" s="23"/>
      <c r="D16" s="23"/>
      <c r="E16" s="22"/>
      <c r="F16" s="23"/>
    </row>
    <row r="17">
      <c r="A17" s="19" t="str">
        <f t="shared" si="3"/>
        <v/>
      </c>
      <c r="B17" s="20"/>
      <c r="C17" s="23"/>
      <c r="D17" s="23"/>
      <c r="E17" s="22"/>
      <c r="F17" s="23"/>
    </row>
    <row r="18">
      <c r="A18" s="19" t="str">
        <f t="shared" si="3"/>
        <v/>
      </c>
      <c r="B18" s="20"/>
      <c r="C18" s="23"/>
      <c r="D18" s="23"/>
      <c r="E18" s="22"/>
      <c r="F18" s="23"/>
    </row>
    <row r="19">
      <c r="A19" s="19" t="str">
        <f t="shared" si="3"/>
        <v/>
      </c>
      <c r="B19" s="20"/>
      <c r="C19" s="23"/>
      <c r="D19" s="23"/>
      <c r="E19" s="22"/>
      <c r="F19" s="23"/>
    </row>
    <row r="20">
      <c r="A20" s="19" t="str">
        <f t="shared" si="3"/>
        <v/>
      </c>
      <c r="B20" s="20"/>
      <c r="C20" s="23"/>
      <c r="D20" s="23"/>
      <c r="E20" s="22"/>
      <c r="F20" s="23"/>
    </row>
  </sheetData>
  <autoFilter ref="$A$2:$F$13">
    <sortState ref="A2:F13">
      <sortCondition descending="1" ref="E2:E13"/>
    </sortState>
  </autoFilter>
  <mergeCells count="1">
    <mergeCell ref="J3:K3"/>
  </mergeCells>
  <drawing r:id="rId1"/>
</worksheet>
</file>